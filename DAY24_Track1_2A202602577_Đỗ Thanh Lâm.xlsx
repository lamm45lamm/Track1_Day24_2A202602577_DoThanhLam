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d7fa78f3e44db7" /></Relationships>
</file>

<file path=xl/workbook.xml><?xml version="1.0" encoding="utf-8"?>
<x:workbook xmlns:x="http://schemas.openxmlformats.org/spreadsheetml/2006/main">
  <x:sheets>
    <x:sheet xmlns:r="http://schemas.openxmlformats.org/officeDocument/2006/relationships" name="0_Hướng dẫn" sheetId="1" r:id="Rb2efb9719eb745eb"/>
    <x:sheet xmlns:r="http://schemas.openxmlformats.org/officeDocument/2006/relationships" name="0_Đầu vào" sheetId="2" r:id="Rac138e2d748545c6"/>
    <x:sheet xmlns:r="http://schemas.openxmlformats.org/officeDocument/2006/relationships" name="A_Tài chính căn bản" sheetId="3" r:id="Rb72f14ea59de421e"/>
    <x:sheet xmlns:r="http://schemas.openxmlformats.org/officeDocument/2006/relationships" name="1_Chi phí mỗi việc" sheetId="4" r:id="R43bdb3dad2b64ebb"/>
    <x:sheet xmlns:r="http://schemas.openxmlformats.org/officeDocument/2006/relationships" name="2_Định giá" sheetId="5" r:id="Rc41685971f2248ff"/>
    <x:sheet xmlns:r="http://schemas.openxmlformats.org/officeDocument/2006/relationships" name="3_Giả định" sheetId="6" r:id="Rf162211da3f842df"/>
    <x:sheet xmlns:r="http://schemas.openxmlformats.org/officeDocument/2006/relationships" name="4_Chỉ số mỗi khách" sheetId="7" r:id="R134379868daf4913"/>
    <x:sheet xmlns:r="http://schemas.openxmlformats.org/officeDocument/2006/relationships" name="5_Dòng tiền &amp; hiệu quả" sheetId="8" r:id="Rfe88b091e3034d9c"/>
    <x:sheet xmlns:r="http://schemas.openxmlformats.org/officeDocument/2006/relationships" name="6_Hiệu quả nội bộ" sheetId="9" r:id="R60664b62b01f4504"/>
    <x:sheet xmlns:r="http://schemas.openxmlformats.org/officeDocument/2006/relationships" name="7_Quyết định" sheetId="10" r:id="R7965a81ac39b4203"/>
    <x:sheet xmlns:r="http://schemas.openxmlformats.org/officeDocument/2006/relationships" name="8_Thang điểm" sheetId="11" r:id="Rcc80fd8cde90405c"/>
    <x:sheet xmlns:r="http://schemas.openxmlformats.org/officeDocument/2006/relationships" name="9_Số tham khảo" sheetId="12" r:id="R80924917297644ae"/>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164" formatCode="#,##0;[RED]\-#,##0"/>
    <x:numFmt numFmtId="165" formatCode="#,##0.0;[RED]\-#,##0.0"/>
    <x:numFmt numFmtId="166" formatCode="#,##0.##"/>
    <x:numFmt numFmtId="167" formatCode="0.0%"/>
    <x:numFmt numFmtId="168" formatCode="0.0&quot; tháng&quot;"/>
    <x:numFmt numFmtId="169" formatCode="0.00\x"/>
    <x:numFmt numFmtId="170" formatCode="#,##0.0"/>
    <x:numFmt numFmtId="171" formatCode="&quot;Tháng &quot;0"/>
  </x:numFmts>
  <x:fonts count="16">
    <x:font>
      <x:sz val="11"/>
      <x:color theme="1"/>
      <x:name val="Calibri"/>
      <x:family val="2"/>
    </x:font>
    <x:font>
      <x:sz val="10"/>
      <x:name val="Arial"/>
    </x:font>
    <x:font>
      <x:sz val="10"/>
      <x:name val="Arial"/>
    </x:font>
    <x:font>
      <x:sz val="10"/>
      <x:name val="Arial"/>
    </x:font>
    <x:font>
      <x:b/>
      <x:sz val="14"/>
      <x:name val="Cambria"/>
    </x:font>
    <x:font>
      <x:i/>
      <x:sz val="11"/>
      <x:color rgb="FF595959"/>
      <x:name val="Cambria"/>
    </x:font>
    <x:font>
      <x:b/>
      <x:sz val="11"/>
      <x:name val="Cambria"/>
    </x:font>
    <x:font>
      <x:i/>
      <x:sz val="11"/>
      <x:color rgb="FF595959"/>
      <x:name val="Calibri"/>
    </x:font>
    <x:font>
      <x:b/>
      <x:sz val="11"/>
      <x:color rgb="FFFFFFFF"/>
      <x:name val="Cambria"/>
    </x:font>
    <x:font>
      <x:i/>
      <x:sz val="10"/>
      <x:color rgb="FF595959"/>
      <x:name val="Calibri"/>
    </x:font>
    <x:font>
      <x:sz val="11"/>
      <x:name val="Calibri"/>
    </x:font>
    <x:font>
      <x:b/>
      <x:sz val="11"/>
      <x:name val="Calibri"/>
    </x:font>
    <x:font>
      <x:b/>
      <x:sz val="11"/>
      <x:color rgb="FFC00000"/>
      <x:name val="Calibri"/>
    </x:font>
    <x:font>
      <x:b/>
      <x:sz val="12"/>
      <x:name val="Cambria"/>
    </x:font>
    <x:font>
      <x:b/>
      <x:sz val="11"/>
      <x:color rgb="FFC00000"/>
      <x:name val="Cambria"/>
    </x:font>
    <x:font>
      <x:sz val="10"/>
      <x:color rgb="FF808080"/>
      <x:name val="Calibri"/>
    </x:font>
  </x:fonts>
  <x:fills count="6">
    <x:fill>
      <x:patternFill patternType="none"/>
    </x:fill>
    <x:fill>
      <x:patternFill patternType="gray125"/>
    </x:fill>
    <x:fill>
      <x:patternFill patternType="solid">
        <x:fgColor rgb="FFFFF2CC"/>
      </x:patternFill>
    </x:fill>
    <x:fill>
      <x:patternFill patternType="solid">
        <x:fgColor rgb="FFE2EFDA"/>
      </x:patternFill>
    </x:fill>
    <x:fill>
      <x:patternFill patternType="solid">
        <x:fgColor rgb="FF1F3864"/>
      </x:patternFill>
    </x:fill>
    <x:fill>
      <x:patternFill patternType="solid">
        <x:fgColor rgb="FFD9E1F2"/>
      </x:patternFill>
    </x:fill>
  </x:fills>
  <x:borders count="6">
    <x:border>
      <x:left/>
      <x:right/>
      <x:top/>
      <x:bottom/>
      <x:diagonal/>
    </x:border>
    <x:border>
      <x:left style="thin">
        <x:color rgb="FFBFBFBF"/>
      </x:left>
      <x:right style="thin">
        <x:color rgb="FFBFBFBF"/>
      </x:right>
      <x:top style="thin">
        <x:color rgb="FFBFBFBF"/>
      </x:top>
      <x:bottom style="thin">
        <x:color rgb="FFBFBFBF"/>
      </x:bottom>
      <x:diagonal/>
    </x:border>
    <x:border>
      <x:left/>
      <x:right/>
      <x:top style="thin">
        <x:color rgb="FFBFBFBF"/>
      </x:top>
      <x:bottom/>
      <x:diagonal/>
    </x:border>
    <x:border>
      <x:left/>
      <x:right style="thin">
        <x:color rgb="FFBFBFBF"/>
      </x:right>
      <x:top style="thin">
        <x:color rgb="FFBFBFBF"/>
      </x:top>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221">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top" wrapText="1"/>
    </x:xf>
    <x:xf numFmtId="0" fontId="0" fillId="0" borderId="0" xfId="0" applyAlignment="1">
      <x:alignment horizontal="general" vertical="top" wrapText="1"/>
    </x:xf>
    <x:xf numFmtId="0" fontId="6" fillId="0" borderId="0" xfId="0" applyAlignment="1">
      <x:alignment horizontal="general" vertical="bottom"/>
    </x:xf>
    <x:xf numFmtId="0" fontId="0" fillId="2" borderId="0" xfId="0" applyAlignment="1">
      <x:alignment horizontal="general" vertical="bottom"/>
    </x:xf>
    <x:xf numFmtId="0" fontId="0" fillId="3" borderId="0" xfId="0" applyAlignment="1">
      <x:alignment horizontal="general" vertical="bottom"/>
    </x:xf>
    <x:xf numFmtId="0" fontId="7" fillId="0" borderId="0" xfId="0" applyAlignment="1">
      <x:alignment horizontal="general" vertical="top" wrapText="1"/>
    </x:xf>
    <x:xf numFmtId="0" fontId="5" fillId="0" borderId="0" xfId="0" applyAlignment="1">
      <x:alignment horizontal="general" vertical="bottom"/>
    </x:xf>
    <x:xf numFmtId="0" fontId="8" fillId="4" borderId="0" xfId="0" applyAlignment="1">
      <x:alignment horizontal="general" vertical="bottom" wrapText="1"/>
    </x:xf>
    <x:xf numFmtId="0" fontId="0" fillId="0" borderId="1" xfId="0" applyAlignment="1">
      <x:alignment horizontal="general" vertical="top" wrapText="1"/>
    </x:xf>
    <x:xf numFmtId="0" fontId="0" fillId="2" borderId="1" xfId="0" applyAlignment="1" applyProtection="1">
      <x:alignment horizontal="general" vertical="top" wrapText="1"/>
      <x:protection locked="0" hidden="0"/>
    </x:xf>
    <x:xf numFmtId="0" fontId="9" fillId="0" borderId="0" xfId="0" applyAlignment="1">
      <x:alignment horizontal="general" vertical="top" wrapText="1"/>
    </x:xf>
    <x:xf numFmtId="0" fontId="8" fillId="4" borderId="0" xfId="0" applyAlignment="1">
      <x:alignment horizontal="general" vertical="center" wrapText="1"/>
    </x:xf>
    <x:xf numFmtId="0" fontId="10" fillId="0" borderId="1" xfId="0" applyAlignment="1">
      <x:alignment horizontal="center" vertical="center"/>
    </x:xf>
    <x:xf numFmtId="0" fontId="10" fillId="0" borderId="1" xfId="0" applyAlignment="1">
      <x:alignment horizontal="general" vertical="center"/>
    </x:xf>
    <x:xf numFmtId="164" fontId="10" fillId="0" borderId="1" xfId="0" applyAlignment="1">
      <x:alignment horizontal="general" vertical="center"/>
    </x:xf>
    <x:xf numFmtId="0" fontId="10" fillId="0" borderId="1" xfId="0" applyAlignment="1">
      <x:alignment horizontal="general" vertical="center" wrapText="1"/>
    </x:xf>
    <x:xf numFmtId="0" fontId="10" fillId="2" borderId="1" xfId="0" applyAlignment="1" applyProtection="1">
      <x:alignment horizontal="general" vertical="center" wrapText="1"/>
      <x:protection locked="0" hidden="0"/>
    </x:xf>
    <x:xf numFmtId="0" fontId="6" fillId="0" borderId="0" xfId="0" applyAlignment="1">
      <x:alignment horizontal="general" vertical="top" wrapText="1"/>
    </x:xf>
    <x:xf numFmtId="0" fontId="10" fillId="0" borderId="1" xfId="0" applyAlignment="1">
      <x:alignment horizontal="general" vertical="bottom"/>
    </x:xf>
    <x:xf numFmtId="164" fontId="10" fillId="2" borderId="1" xfId="0" applyAlignment="1" applyProtection="1">
      <x:alignment horizontal="general" vertical="bottom"/>
      <x:protection locked="0" hidden="0"/>
    </x:xf>
    <x:xf numFmtId="164" fontId="10" fillId="3" borderId="1" xfId="0" applyAlignment="1">
      <x:alignment horizontal="general" vertical="bottom"/>
    </x:xf>
    <x:xf numFmtId="0" fontId="11" fillId="0" borderId="1" xfId="0" applyAlignment="1">
      <x:alignment horizontal="general" vertical="bottom"/>
    </x:xf>
    <x:xf numFmtId="164" fontId="11" fillId="3" borderId="1" xfId="0" applyAlignment="1">
      <x:alignment horizontal="general" vertical="bottom"/>
    </x:xf>
    <x:xf numFmtId="0" fontId="10" fillId="3" borderId="1" xfId="0" applyAlignment="1">
      <x:alignment horizontal="general" vertical="bottom"/>
    </x:xf>
    <x:xf numFmtId="9" fontId="10" fillId="3" borderId="1" xfId="0" applyAlignment="1">
      <x:alignment horizontal="general" vertical="bottom"/>
    </x:xf>
    <x:xf numFmtId="0" fontId="11" fillId="0" borderId="1" xfId="0" applyAlignment="1">
      <x:alignment horizontal="general" vertical="top" wrapText="1"/>
    </x:xf>
    <x:xf numFmtId="0" fontId="11" fillId="3" borderId="1" xfId="0" applyAlignment="1">
      <x:alignment horizontal="general" vertical="top" wrapText="1"/>
    </x:xf>
    <x:xf numFmtId="0" fontId="11" fillId="3" borderId="1" xfId="0" applyAlignment="1">
      <x:alignment horizontal="general" vertical="bottom"/>
    </x:xf>
    <x:xf numFmtId="0" fontId="10" fillId="0" borderId="1" xfId="0" applyAlignment="1">
      <x:alignment horizontal="general" vertical="top" wrapText="1"/>
    </x:xf>
    <x:xf numFmtId="164" fontId="10" fillId="0" borderId="1" xfId="0" applyAlignment="1">
      <x:alignment horizontal="general" vertical="bottom"/>
    </x:xf>
    <x:xf numFmtId="0" fontId="10" fillId="2" borderId="1" xfId="0" applyAlignment="1" applyProtection="1">
      <x:alignment horizontal="general" vertical="top" wrapText="1"/>
      <x:protection locked="0" hidden="0"/>
    </x:xf>
    <x:xf numFmtId="9" fontId="10" fillId="0" borderId="1" xfId="0" applyAlignment="1">
      <x:alignment horizontal="general" vertical="bottom"/>
    </x:xf>
    <x:xf numFmtId="165" fontId="10" fillId="2" borderId="1" xfId="0" applyAlignment="1" applyProtection="1">
      <x:alignment horizontal="general" vertical="bottom"/>
      <x:protection locked="0" hidden="0"/>
    </x:xf>
    <x:xf numFmtId="0" fontId="10" fillId="2" borderId="1" xfId="0" applyAlignment="1" applyProtection="1">
      <x:alignment horizontal="general" vertical="bottom"/>
      <x:protection locked="0" hidden="0"/>
    </x:xf>
    <x:xf numFmtId="0" fontId="12" fillId="0" borderId="0" xfId="0" applyAlignment="1">
      <x:alignment horizontal="general" vertical="top" wrapText="1"/>
    </x:xf>
    <x:xf numFmtId="0" fontId="0" fillId="0" borderId="1" xfId="0" applyAlignment="1">
      <x:alignment horizontal="general" vertical="center"/>
    </x:xf>
    <x:xf numFmtId="0" fontId="0" fillId="2" borderId="0" xfId="0" applyAlignment="1" applyProtection="1">
      <x:alignment horizontal="general" vertical="center"/>
      <x:protection locked="0" hidden="0"/>
    </x:xf>
    <x:xf numFmtId="0" fontId="0" fillId="0" borderId="0" xfId="0" applyAlignment="1">
      <x:alignment horizontal="general" vertical="center"/>
    </x:xf>
    <x:xf numFmtId="0" fontId="0" fillId="2" borderId="0" xfId="0" applyAlignment="1" applyProtection="1">
      <x:alignment horizontal="general" vertical="center" wrapText="1"/>
      <x:protection locked="0" hidden="0"/>
    </x:xf>
    <x:xf numFmtId="0" fontId="9" fillId="0" borderId="0" xfId="0" applyAlignment="1">
      <x:alignment horizontal="general" vertical="center" wrapText="1"/>
    </x:xf>
    <x:xf numFmtId="166" fontId="0" fillId="2" borderId="1" xfId="0" applyAlignment="1" applyProtection="1">
      <x:alignment horizontal="general" vertical="center"/>
      <x:protection locked="0" hidden="0"/>
    </x:xf>
    <x:xf numFmtId="167" fontId="0" fillId="2" borderId="1" xfId="0" applyAlignment="1" applyProtection="1">
      <x:alignment horizontal="general" vertical="center"/>
      <x:protection locked="0" hidden="0"/>
    </x:xf>
    <x:xf numFmtId="0" fontId="0" fillId="0" borderId="1" xfId="0" applyAlignment="1">
      <x:alignment horizontal="general" vertical="bottom"/>
    </x:xf>
    <x:xf numFmtId="164" fontId="0" fillId="3" borderId="1" xfId="0" applyAlignment="1">
      <x:alignment horizontal="general" vertical="bottom"/>
    </x:xf>
    <x:xf numFmtId="164" fontId="6" fillId="3" borderId="1" xfId="0" applyAlignment="1">
      <x:alignment horizontal="general" vertical="bottom"/>
    </x:xf>
    <x:xf numFmtId="0" fontId="9" fillId="0" borderId="0" xfId="0" applyAlignment="1">
      <x:alignment horizontal="general" vertical="top" wrapText="1"/>
    </x:xf>
    <x:xf numFmtId="167" fontId="0" fillId="3" borderId="1" xfId="0" applyAlignment="1">
      <x:alignment horizontal="general" vertical="bottom"/>
    </x:xf>
    <x:xf numFmtId="0" fontId="9" fillId="0" borderId="0" xfId="0" applyAlignment="1">
      <x:alignment horizontal="general" vertical="bottom"/>
    </x:xf>
    <x:xf numFmtId="0" fontId="0" fillId="2" borderId="0" xfId="0" applyAlignment="1" applyProtection="1">
      <x:alignment horizontal="general" vertical="bottom" wrapText="1"/>
      <x:protection locked="0" hidden="0"/>
    </x:xf>
    <x:xf numFmtId="0" fontId="10" fillId="2" borderId="0" xfId="0" applyAlignment="1" applyProtection="1">
      <x:alignment horizontal="general" vertical="bottom"/>
      <x:protection locked="0" hidden="0"/>
    </x:xf>
    <x:xf numFmtId="164" fontId="0" fillId="2" borderId="1" xfId="0" applyAlignment="1" applyProtection="1">
      <x:alignment horizontal="general" vertical="bottom"/>
      <x:protection locked="0" hidden="0"/>
    </x:xf>
    <x:xf numFmtId="0" fontId="8" fillId="4" borderId="0" xfId="0" applyAlignment="1">
      <x:alignment horizontal="general" vertical="top" wrapText="1"/>
    </x:xf>
    <x:xf numFmtId="167" fontId="0" fillId="2" borderId="1" xfId="0" applyAlignment="1" applyProtection="1">
      <x:alignment horizontal="general" vertical="bottom"/>
      <x:protection locked="0" hidden="0"/>
    </x:xf>
    <x:xf numFmtId="3" fontId="0" fillId="2" borderId="1" xfId="0" applyAlignment="1" applyProtection="1">
      <x:alignment horizontal="general" vertical="bottom"/>
      <x:protection locked="0" hidden="0"/>
    </x:xf>
    <x:xf numFmtId="3" fontId="0" fillId="3" borderId="1" xfId="0" applyAlignment="1">
      <x:alignment horizontal="general" vertical="bottom"/>
    </x:xf>
    <x:xf numFmtId="167" fontId="6" fillId="3" borderId="1" xfId="0" applyAlignment="1">
      <x:alignment horizontal="general" vertical="bottom"/>
    </x:xf>
    <x:xf numFmtId="0" fontId="0" fillId="3" borderId="1" xfId="0" applyAlignment="1">
      <x:alignment horizontal="general" vertical="bottom"/>
    </x:xf>
    <x:xf numFmtId="9" fontId="10" fillId="2" borderId="1" xfId="0" applyAlignment="1" applyProtection="1">
      <x:alignment horizontal="general" vertical="bottom"/>
      <x:protection locked="0" hidden="0"/>
    </x:xf>
    <x:xf numFmtId="0" fontId="10" fillId="3" borderId="1" xfId="0" applyAlignment="1">
      <x:alignment horizontal="general" vertical="top" wrapText="1"/>
    </x:xf>
    <x:xf numFmtId="2" fontId="10" fillId="3" borderId="1" xfId="0" applyAlignment="1">
      <x:alignment horizontal="general" vertical="bottom"/>
    </x:xf>
    <x:xf numFmtId="167" fontId="11" fillId="3" borderId="1" xfId="0" applyAlignment="1">
      <x:alignment horizontal="general" vertical="bottom"/>
    </x:xf>
    <x:xf numFmtId="0" fontId="0" fillId="0" borderId="1" xfId="0" applyAlignment="1">
      <x:alignment horizontal="general" vertical="center" wrapText="1"/>
    </x:xf>
    <x:xf numFmtId="2" fontId="0" fillId="2" borderId="1" xfId="0" applyAlignment="1" applyProtection="1">
      <x:alignment horizontal="general" vertical="center"/>
      <x:protection locked="0" hidden="0"/>
    </x:xf>
    <x:xf numFmtId="0" fontId="10" fillId="2" borderId="0" xfId="0" applyAlignment="1" applyProtection="1">
      <x:alignment horizontal="general" vertical="center" wrapText="1"/>
      <x:protection locked="0" hidden="0"/>
    </x:xf>
    <x:xf numFmtId="3" fontId="0" fillId="2" borderId="1" xfId="0" applyAlignment="1" applyProtection="1">
      <x:alignment horizontal="general" vertical="center"/>
      <x:protection locked="0" hidden="0"/>
    </x:xf>
    <x:xf numFmtId="164" fontId="0" fillId="2" borderId="1" xfId="0" applyAlignment="1" applyProtection="1">
      <x:alignment horizontal="general" vertical="center"/>
      <x:protection locked="0" hidden="0"/>
    </x:xf>
    <x:xf numFmtId="0" fontId="10" fillId="2" borderId="0" xfId="0" applyAlignment="1" applyProtection="1">
      <x:alignment horizontal="general" vertical="center"/>
      <x:protection locked="0" hidden="0"/>
    </x:xf>
    <x:xf numFmtId="168" fontId="0" fillId="3" borderId="1" xfId="0" applyAlignment="1">
      <x:alignment horizontal="general" vertical="bottom"/>
    </x:xf>
    <x:xf numFmtId="169" fontId="6" fillId="3" borderId="1" xfId="0" applyAlignment="1">
      <x:alignment horizontal="general" vertical="bottom"/>
    </x:xf>
    <x:xf numFmtId="0" fontId="6" fillId="3" borderId="1" xfId="0" applyAlignment="1">
      <x:alignment horizontal="general" vertical="bottom"/>
    </x:xf>
    <x:xf numFmtId="0" fontId="6" fillId="5" borderId="0" xfId="0" applyAlignment="1">
      <x:alignment horizontal="general" vertical="bottom"/>
    </x:xf>
    <x:xf numFmtId="170" fontId="0" fillId="0" borderId="0" xfId="0" applyAlignment="1">
      <x:alignment horizontal="general" vertical="bottom"/>
    </x:xf>
    <x:xf numFmtId="164" fontId="0" fillId="0" borderId="0" xfId="0" applyAlignment="1">
      <x:alignment horizontal="general" vertical="bottom"/>
    </x:xf>
    <x:xf numFmtId="0" fontId="13" fillId="0" borderId="0" xfId="0" applyAlignment="1">
      <x:alignment horizontal="general" vertical="bottom"/>
    </x:xf>
    <x:xf numFmtId="171" fontId="0" fillId="3" borderId="1" xfId="0" applyAlignment="1">
      <x:alignment horizontal="general" vertical="bottom"/>
    </x:xf>
    <x:xf numFmtId="0" fontId="10" fillId="0" borderId="0" xfId="0" applyAlignment="1">
      <x:alignment horizontal="general" vertical="bottom"/>
    </x:xf>
    <x:xf numFmtId="9" fontId="10" fillId="2" borderId="0" xfId="0" applyAlignment="1" applyProtection="1">
      <x:alignment horizontal="general" vertical="bottom"/>
      <x:protection locked="0" hidden="0"/>
    </x:xf>
    <x:xf numFmtId="0" fontId="8" fillId="4" borderId="0" xfId="0" applyAlignment="1">
      <x:alignment horizontal="left" vertical="center" wrapText="1"/>
    </x:xf>
    <x:xf numFmtId="0" fontId="8" fillId="4" borderId="0" xfId="0" applyAlignment="1">
      <x:alignment horizontal="center" vertical="center" wrapText="1"/>
    </x:xf>
    <x:xf numFmtId="0" fontId="10" fillId="0" borderId="0" xfId="0" applyAlignment="1">
      <x:alignment horizontal="center" vertical="bottom"/>
    </x:xf>
    <x:xf numFmtId="164" fontId="10" fillId="3" borderId="0" xfId="0" applyAlignment="1">
      <x:alignment horizontal="general" vertical="bottom"/>
    </x:xf>
    <x:xf numFmtId="171" fontId="10" fillId="3" borderId="0" xfId="0" applyAlignment="1">
      <x:alignment horizontal="general" vertical="center" wrapText="1"/>
    </x:xf>
    <x:xf numFmtId="1" fontId="10" fillId="3" borderId="0" xfId="0" applyAlignment="1">
      <x:alignment horizontal="center" vertical="bottom"/>
    </x:xf>
    <x:xf numFmtId="167" fontId="10" fillId="3" borderId="0" xfId="0" applyAlignment="1">
      <x:alignment horizontal="general" vertical="bottom"/>
    </x:xf>
    <x:xf numFmtId="170" fontId="10" fillId="3" borderId="0" xfId="0" applyAlignment="1">
      <x:alignment horizontal="general" vertical="bottom"/>
    </x:xf>
    <x:xf numFmtId="0" fontId="14" fillId="3" borderId="0" xfId="0" applyAlignment="1">
      <x:alignment horizontal="general" vertical="bottom"/>
    </x:xf>
    <x:xf numFmtId="0" fontId="6" fillId="0" borderId="0" xfId="0" applyAlignment="1">
      <x:alignment horizontal="general" vertical="center" wrapText="1"/>
    </x:xf>
    <x:xf numFmtId="0" fontId="8" fillId="4" borderId="0" xfId="0" applyAlignment="1">
      <x:alignment horizontal="general" vertical="center" wrapText="1"/>
    </x:xf>
    <x:xf numFmtId="167" fontId="10" fillId="3" borderId="1" xfId="0" applyAlignment="1">
      <x:alignment horizontal="general" vertical="bottom"/>
    </x:xf>
    <x:xf numFmtId="165" fontId="10" fillId="3" borderId="1" xfId="0" applyAlignment="1">
      <x:alignment horizontal="general" vertical="bottom"/>
    </x:xf>
    <x:xf numFmtId="165" fontId="11" fillId="3" borderId="1" xfId="0" applyAlignment="1">
      <x:alignment horizontal="general" vertical="bottom"/>
    </x:xf>
    <x:xf numFmtId="0" fontId="15" fillId="0" borderId="0" xfId="0" applyAlignment="1">
      <x:alignment horizontal="general" vertical="bottom"/>
    </x:xf>
    <x:xf numFmtId="164" fontId="15" fillId="0" borderId="0" xfId="0" applyAlignment="1">
      <x:alignment horizontal="general" vertical="bottom"/>
    </x:xf>
    <x:xf numFmtId="170" fontId="15" fillId="0" borderId="0" xfId="0" applyAlignment="1">
      <x:alignment horizontal="general" vertical="bottom"/>
    </x:xf>
    <x:xf numFmtId="167" fontId="15" fillId="0" borderId="0" xfId="0" applyAlignment="1">
      <x:alignment horizontal="general" vertical="bottom"/>
    </x:xf>
    <x:xf numFmtId="0" fontId="12" fillId="0" borderId="0" xfId="0" applyAlignment="1">
      <x:alignment horizontal="general" vertical="bottom"/>
    </x:xf>
    <x:xf numFmtId="170" fontId="0" fillId="2" borderId="1" xfId="0" applyAlignment="1" applyProtection="1">
      <x:alignment horizontal="general" vertical="center"/>
      <x:protection locked="0" hidden="0"/>
    </x:xf>
    <x:xf numFmtId="168" fontId="6" fillId="3" borderId="1" xfId="0" applyAlignment="1">
      <x:alignment horizontal="general" vertical="bottom"/>
    </x:xf>
    <x:xf numFmtId="0" fontId="5" fillId="0" borderId="0" xfId="0" applyAlignment="1">
      <x:alignment horizontal="general" vertical="top" wrapText="1"/>
    </x:xf>
    <x:xf numFmtId="169" fontId="0" fillId="3" borderId="1" xfId="0" applyAlignment="1">
      <x:alignment horizontal="general" vertical="bottom"/>
    </x:xf>
    <x:xf numFmtId="0" fontId="13" fillId="0" borderId="0" xfId="0" applyAlignment="1">
      <x:alignment horizontal="general" vertical="top" wrapText="1"/>
    </x:xf>
    <x:xf numFmtId="0" fontId="0" fillId="2" borderId="0" xfId="0" applyAlignment="1" applyProtection="1">
      <x:alignment horizontal="general" vertical="bottom" wrapText="1"/>
      <x:protection locked="0" hidden="0"/>
    </x:xf>
    <x:xf numFmtId="0" fontId="0" fillId="2" borderId="0" xfId="0" applyAlignment="1" applyProtection="1">
      <x:alignment horizontal="general" vertical="bottom"/>
      <x:protection locked="0" hidden="0"/>
    </x:xf>
    <x:xf numFmtId="0" fontId="6" fillId="0" borderId="0" xfId="0" applyAlignment="1">
      <x:alignment horizontal="general" vertical="top" wrapText="1"/>
    </x:xf>
    <x:xf numFmtId="0" fontId="10" fillId="0" borderId="0" xfId="0" applyAlignment="1">
      <x:alignment horizontal="general" vertical="top" wrapText="1"/>
    </x:xf>
    <x:xf numFmtId="2" fontId="10" fillId="0" borderId="0" xfId="0" applyAlignment="1">
      <x:alignment horizontal="general" vertical="bottom"/>
    </x:xf>
    <x:xf numFmtId="3" fontId="10" fillId="0" borderId="0" xfId="0" applyAlignment="1">
      <x:alignment horizontal="general" vertical="bottom"/>
    </x:xf>
    <x:xf numFmtId="0" fontId="10" fillId="0" borderId="0" xfId="0" applyAlignment="1">
      <x:alignment horizontal="general" vertical="top" wrapText="1"/>
    </x:xf>
    <x:xf numFmtId="0" fontId="0" fillId="0" borderId="0" xfId="0" applyAlignment="1">
      <x:alignment horizontal="general" vertical="bottom"/>
    </x:xf>
    <x:xf numFmtId="0" fontId="0" fillId="0" borderId="0" xfId="0"/>
    <x:xf numFmtId="0" fontId="4" fillId="0" borderId="0" xfId="0" applyAlignment="1">
      <x:alignment horizontal="general" vertical="bottom"/>
    </x:xf>
    <x:xf numFmtId="0" fontId="5" fillId="0" borderId="0" xfId="0" applyAlignment="1">
      <x:alignment horizontal="general" vertical="top" wrapText="1"/>
    </x:xf>
    <x:xf numFmtId="0" fontId="0" fillId="0" borderId="0" xfId="0" applyAlignment="1">
      <x:alignment horizontal="general" vertical="top" wrapText="1"/>
    </x:xf>
    <x:xf numFmtId="0" fontId="6" fillId="0" borderId="0" xfId="0" applyAlignment="1">
      <x:alignment horizontal="general" vertical="bottom"/>
    </x:xf>
    <x:xf numFmtId="0" fontId="0" fillId="2" borderId="0" xfId="0" applyAlignment="1">
      <x:alignment horizontal="general" vertical="bottom"/>
    </x:xf>
    <x:xf numFmtId="0" fontId="0" fillId="3" borderId="0" xfId="0" applyAlignment="1">
      <x:alignment horizontal="general" vertical="bottom"/>
    </x:xf>
    <x:xf numFmtId="0" fontId="7" fillId="0" borderId="0" xfId="0" applyAlignment="1">
      <x:alignment horizontal="general" vertical="top" wrapText="1"/>
    </x:xf>
    <x:xf numFmtId="0" fontId="5" fillId="0" borderId="0" xfId="0" applyAlignment="1">
      <x:alignment horizontal="general" vertical="bottom"/>
    </x:xf>
    <x:xf numFmtId="0" fontId="8" fillId="4" borderId="0" xfId="0" applyAlignment="1">
      <x:alignment horizontal="general" vertical="bottom" wrapText="1"/>
    </x:xf>
    <x:xf numFmtId="0" fontId="0" fillId="0" borderId="1" xfId="0" applyAlignment="1">
      <x:alignment horizontal="general" vertical="top" wrapText="1"/>
    </x:xf>
    <x:xf numFmtId="0" fontId="0" fillId="2" borderId="1" xfId="0" applyAlignment="1" applyProtection="1">
      <x:alignment horizontal="general" vertical="top" wrapText="1"/>
      <x:protection locked="0" hidden="0"/>
    </x:xf>
    <x:xf numFmtId="0" fontId="9" fillId="0" borderId="0" xfId="0" applyAlignment="1">
      <x:alignment horizontal="general" vertical="top" wrapText="1"/>
    </x:xf>
    <x:xf numFmtId="0" fontId="8" fillId="4" borderId="0" xfId="0" applyAlignment="1">
      <x:alignment horizontal="general" vertical="center" wrapText="1"/>
    </x:xf>
    <x:xf numFmtId="0" fontId="10" fillId="0" borderId="1" xfId="0" applyAlignment="1">
      <x:alignment horizontal="center" vertical="center"/>
    </x:xf>
    <x:xf numFmtId="0" fontId="10" fillId="0" borderId="1" xfId="0" applyAlignment="1">
      <x:alignment horizontal="general" vertical="center"/>
    </x:xf>
    <x:xf numFmtId="164" fontId="10" fillId="0" borderId="1" xfId="0" applyAlignment="1">
      <x:alignment horizontal="general" vertical="center"/>
    </x:xf>
    <x:xf numFmtId="0" fontId="10" fillId="0" borderId="1" xfId="0" applyAlignment="1">
      <x:alignment horizontal="general" vertical="center" wrapText="1"/>
    </x:xf>
    <x:xf numFmtId="0" fontId="10" fillId="2" borderId="1" xfId="0" applyAlignment="1" applyProtection="1">
      <x:alignment horizontal="general" vertical="center" wrapText="1"/>
      <x:protection locked="0" hidden="0"/>
    </x:xf>
    <x:xf numFmtId="0" fontId="6" fillId="0" borderId="0" xfId="0" applyAlignment="1">
      <x:alignment horizontal="general" vertical="top" wrapText="1"/>
    </x:xf>
    <x:xf numFmtId="0" fontId="10" fillId="0" borderId="1" xfId="0" applyAlignment="1">
      <x:alignment horizontal="general" vertical="bottom"/>
    </x:xf>
    <x:xf numFmtId="164" fontId="10" fillId="2" borderId="1" xfId="0" applyAlignment="1" applyProtection="1">
      <x:alignment horizontal="general" vertical="bottom"/>
      <x:protection locked="0" hidden="0"/>
    </x:xf>
    <x:xf numFmtId="164" fontId="10" fillId="3" borderId="1" xfId="0" applyAlignment="1">
      <x:alignment horizontal="general" vertical="bottom"/>
    </x:xf>
    <x:xf numFmtId="0" fontId="11" fillId="0" borderId="1" xfId="0" applyAlignment="1">
      <x:alignment horizontal="general" vertical="bottom"/>
    </x:xf>
    <x:xf numFmtId="164" fontId="11" fillId="3" borderId="1" xfId="0" applyAlignment="1">
      <x:alignment horizontal="general" vertical="bottom"/>
    </x:xf>
    <x:xf numFmtId="0" fontId="10" fillId="3" borderId="1" xfId="0" applyAlignment="1">
      <x:alignment horizontal="general" vertical="bottom"/>
    </x:xf>
    <x:xf numFmtId="9" fontId="10" fillId="3" borderId="1" xfId="0" applyAlignment="1">
      <x:alignment horizontal="general" vertical="bottom"/>
    </x:xf>
    <x:xf numFmtId="0" fontId="11" fillId="0" borderId="1" xfId="0" applyAlignment="1">
      <x:alignment horizontal="general" vertical="top" wrapText="1"/>
    </x:xf>
    <x:xf numFmtId="0" fontId="11" fillId="3" borderId="1" xfId="0" applyAlignment="1">
      <x:alignment horizontal="general" vertical="top" wrapText="1"/>
    </x:xf>
    <x:xf numFmtId="0" fontId="11" fillId="3" borderId="1" xfId="0" applyAlignment="1">
      <x:alignment horizontal="general" vertical="bottom"/>
    </x:xf>
    <x:xf numFmtId="0" fontId="10" fillId="0" borderId="1" xfId="0" applyAlignment="1">
      <x:alignment horizontal="general" vertical="top" wrapText="1"/>
    </x:xf>
    <x:xf numFmtId="164" fontId="10" fillId="0" borderId="1" xfId="0" applyAlignment="1">
      <x:alignment horizontal="general" vertical="bottom"/>
    </x:xf>
    <x:xf numFmtId="0" fontId="10" fillId="2" borderId="1" xfId="0" applyAlignment="1" applyProtection="1">
      <x:alignment horizontal="general" vertical="top" wrapText="1"/>
      <x:protection locked="0" hidden="0"/>
    </x:xf>
    <x:xf numFmtId="0" fontId="0" fillId="0" borderId="4" xfId="0" applyProtection="1">
      <x:protection locked="0" hidden="0"/>
    </x:xf>
    <x:xf numFmtId="0" fontId="0" fillId="0" borderId="5" xfId="0" applyProtection="1">
      <x:protection locked="0" hidden="0"/>
    </x:xf>
    <x:xf numFmtId="9" fontId="10" fillId="0" borderId="1" xfId="0" applyAlignment="1">
      <x:alignment horizontal="general" vertical="bottom"/>
    </x:xf>
    <x:xf numFmtId="165" fontId="10" fillId="2" borderId="1" xfId="0" applyAlignment="1" applyProtection="1">
      <x:alignment horizontal="general" vertical="bottom"/>
      <x:protection locked="0" hidden="0"/>
    </x:xf>
    <x:xf numFmtId="0" fontId="10" fillId="2" borderId="1" xfId="0" applyAlignment="1" applyProtection="1">
      <x:alignment horizontal="general" vertical="bottom"/>
      <x:protection locked="0" hidden="0"/>
    </x:xf>
    <x:xf numFmtId="0" fontId="12" fillId="0" borderId="0" xfId="0" applyAlignment="1">
      <x:alignment horizontal="general" vertical="top" wrapText="1"/>
    </x:xf>
    <x:xf numFmtId="0" fontId="0" fillId="0" borderId="1" xfId="0" applyAlignment="1">
      <x:alignment horizontal="general" vertical="center"/>
    </x:xf>
    <x:xf numFmtId="0" fontId="0" fillId="2" borderId="0" xfId="0" applyAlignment="1" applyProtection="1">
      <x:alignment horizontal="general" vertical="center"/>
      <x:protection locked="0" hidden="0"/>
    </x:xf>
    <x:xf numFmtId="0" fontId="0" fillId="0" borderId="0" xfId="0" applyAlignment="1">
      <x:alignment horizontal="general" vertical="center"/>
    </x:xf>
    <x:xf numFmtId="0" fontId="0" fillId="2" borderId="0" xfId="0" applyAlignment="1" applyProtection="1">
      <x:alignment horizontal="general" vertical="center" wrapText="1"/>
      <x:protection locked="0" hidden="0"/>
    </x:xf>
    <x:xf numFmtId="0" fontId="9" fillId="0" borderId="0" xfId="0" applyAlignment="1">
      <x:alignment horizontal="general" vertical="center" wrapText="1"/>
    </x:xf>
    <x:xf numFmtId="166" fontId="0" fillId="2" borderId="1" xfId="0" applyAlignment="1" applyProtection="1">
      <x:alignment horizontal="general" vertical="center"/>
      <x:protection locked="0" hidden="0"/>
    </x:xf>
    <x:xf numFmtId="167" fontId="0" fillId="2" borderId="1" xfId="0" applyAlignment="1" applyProtection="1">
      <x:alignment horizontal="general" vertical="center"/>
      <x:protection locked="0" hidden="0"/>
    </x:xf>
    <x:xf numFmtId="0" fontId="0" fillId="0" borderId="1" xfId="0" applyAlignment="1">
      <x:alignment horizontal="general" vertical="bottom"/>
    </x:xf>
    <x:xf numFmtId="164" fontId="0" fillId="3" borderId="1" xfId="0" applyAlignment="1">
      <x:alignment horizontal="general" vertical="bottom"/>
    </x:xf>
    <x:xf numFmtId="164" fontId="6" fillId="3" borderId="1" xfId="0" applyAlignment="1">
      <x:alignment horizontal="general" vertical="bottom"/>
    </x:xf>
    <x:xf numFmtId="167" fontId="0" fillId="3" borderId="1" xfId="0" applyAlignment="1">
      <x:alignment horizontal="general" vertical="bottom"/>
    </x:xf>
    <x:xf numFmtId="0" fontId="9" fillId="0" borderId="0" xfId="0" applyAlignment="1">
      <x:alignment horizontal="general" vertical="bottom"/>
    </x:xf>
    <x:xf numFmtId="0" fontId="0" fillId="2" borderId="0" xfId="0" applyAlignment="1" applyProtection="1">
      <x:alignment horizontal="general" vertical="bottom" wrapText="1"/>
      <x:protection locked="0" hidden="0"/>
    </x:xf>
    <x:xf numFmtId="0" fontId="10" fillId="2" borderId="0" xfId="0" applyAlignment="1" applyProtection="1">
      <x:alignment horizontal="general" vertical="bottom"/>
      <x:protection locked="0" hidden="0"/>
    </x:xf>
    <x:xf numFmtId="164" fontId="0" fillId="2" borderId="1" xfId="0" applyAlignment="1" applyProtection="1">
      <x:alignment horizontal="general" vertical="bottom"/>
      <x:protection locked="0" hidden="0"/>
    </x:xf>
    <x:xf numFmtId="0" fontId="8" fillId="4" borderId="0" xfId="0" applyAlignment="1">
      <x:alignment horizontal="general" vertical="top" wrapText="1"/>
    </x:xf>
    <x:xf numFmtId="167" fontId="0" fillId="2" borderId="1" xfId="0" applyAlignment="1" applyProtection="1">
      <x:alignment horizontal="general" vertical="bottom"/>
      <x:protection locked="0" hidden="0"/>
    </x:xf>
    <x:xf numFmtId="3" fontId="0" fillId="2" borderId="1" xfId="0" applyAlignment="1" applyProtection="1">
      <x:alignment horizontal="general" vertical="bottom"/>
      <x:protection locked="0" hidden="0"/>
    </x:xf>
    <x:xf numFmtId="3" fontId="0" fillId="3" borderId="1" xfId="0" applyAlignment="1">
      <x:alignment horizontal="general" vertical="bottom"/>
    </x:xf>
    <x:xf numFmtId="167" fontId="6" fillId="3" borderId="1" xfId="0" applyAlignment="1">
      <x:alignment horizontal="general" vertical="bottom"/>
    </x:xf>
    <x:xf numFmtId="0" fontId="0" fillId="3" borderId="1" xfId="0" applyAlignment="1">
      <x:alignment horizontal="general" vertical="bottom"/>
    </x:xf>
    <x:xf numFmtId="9" fontId="10" fillId="2" borderId="1" xfId="0" applyAlignment="1" applyProtection="1">
      <x:alignment horizontal="general" vertical="bottom"/>
      <x:protection locked="0" hidden="0"/>
    </x:xf>
    <x:xf numFmtId="0" fontId="10" fillId="3" borderId="1" xfId="0" applyAlignment="1">
      <x:alignment horizontal="general" vertical="top" wrapText="1"/>
    </x:xf>
    <x:xf numFmtId="2" fontId="10" fillId="3" borderId="1" xfId="0" applyAlignment="1">
      <x:alignment horizontal="general" vertical="bottom"/>
    </x:xf>
    <x:xf numFmtId="167" fontId="11" fillId="3" borderId="1" xfId="0" applyAlignment="1">
      <x:alignment horizontal="general" vertical="bottom"/>
    </x:xf>
    <x:xf numFmtId="0" fontId="0" fillId="0" borderId="1" xfId="0" applyAlignment="1">
      <x:alignment horizontal="general" vertical="center" wrapText="1"/>
    </x:xf>
    <x:xf numFmtId="2" fontId="0" fillId="2" borderId="1" xfId="0" applyAlignment="1" applyProtection="1">
      <x:alignment horizontal="general" vertical="center"/>
      <x:protection locked="0" hidden="0"/>
    </x:xf>
    <x:xf numFmtId="0" fontId="10" fillId="2" borderId="0" xfId="0" applyAlignment="1" applyProtection="1">
      <x:alignment horizontal="general" vertical="center" wrapText="1"/>
      <x:protection locked="0" hidden="0"/>
    </x:xf>
    <x:xf numFmtId="3" fontId="0" fillId="2" borderId="1" xfId="0" applyAlignment="1" applyProtection="1">
      <x:alignment horizontal="general" vertical="center"/>
      <x:protection locked="0" hidden="0"/>
    </x:xf>
    <x:xf numFmtId="164" fontId="0" fillId="2" borderId="1" xfId="0" applyAlignment="1" applyProtection="1">
      <x:alignment horizontal="general" vertical="center"/>
      <x:protection locked="0" hidden="0"/>
    </x:xf>
    <x:xf numFmtId="0" fontId="10" fillId="2" borderId="0" xfId="0" applyAlignment="1" applyProtection="1">
      <x:alignment horizontal="general" vertical="center"/>
      <x:protection locked="0" hidden="0"/>
    </x:xf>
    <x:xf numFmtId="168" fontId="0" fillId="3" borderId="1" xfId="0" applyAlignment="1">
      <x:alignment horizontal="general" vertical="bottom"/>
    </x:xf>
    <x:xf numFmtId="169" fontId="6" fillId="3" borderId="1" xfId="0" applyAlignment="1">
      <x:alignment horizontal="general" vertical="bottom"/>
    </x:xf>
    <x:xf numFmtId="0" fontId="6" fillId="3" borderId="1" xfId="0" applyAlignment="1">
      <x:alignment horizontal="general" vertical="bottom"/>
    </x:xf>
    <x:xf numFmtId="0" fontId="6" fillId="5" borderId="0" xfId="0" applyAlignment="1">
      <x:alignment horizontal="general" vertical="bottom"/>
    </x:xf>
    <x:xf numFmtId="170" fontId="0" fillId="0" borderId="0" xfId="0" applyAlignment="1">
      <x:alignment horizontal="general" vertical="bottom"/>
    </x:xf>
    <x:xf numFmtId="164" fontId="0" fillId="0" borderId="0" xfId="0" applyAlignment="1">
      <x:alignment horizontal="general" vertical="bottom"/>
    </x:xf>
    <x:xf numFmtId="0" fontId="13" fillId="0" borderId="0" xfId="0" applyAlignment="1">
      <x:alignment horizontal="general" vertical="bottom"/>
    </x:xf>
    <x:xf numFmtId="171" fontId="0" fillId="3" borderId="1" xfId="0" applyAlignment="1">
      <x:alignment horizontal="general" vertical="bottom"/>
    </x:xf>
    <x:xf numFmtId="0" fontId="10" fillId="0" borderId="0" xfId="0" applyAlignment="1">
      <x:alignment horizontal="general" vertical="bottom"/>
    </x:xf>
    <x:xf numFmtId="9" fontId="10" fillId="2" borderId="0" xfId="0" applyAlignment="1" applyProtection="1">
      <x:alignment horizontal="general" vertical="bottom"/>
      <x:protection locked="0" hidden="0"/>
    </x:xf>
    <x:xf numFmtId="0" fontId="8" fillId="4" borderId="0" xfId="0" applyAlignment="1">
      <x:alignment horizontal="left" vertical="center" wrapText="1"/>
    </x:xf>
    <x:xf numFmtId="0" fontId="8" fillId="4" borderId="0" xfId="0" applyAlignment="1">
      <x:alignment horizontal="center" vertical="center" wrapText="1"/>
    </x:xf>
    <x:xf numFmtId="0" fontId="10" fillId="0" borderId="0" xfId="0" applyAlignment="1">
      <x:alignment horizontal="center" vertical="bottom"/>
    </x:xf>
    <x:xf numFmtId="164" fontId="10" fillId="3" borderId="0" xfId="0" applyAlignment="1">
      <x:alignment horizontal="general" vertical="bottom"/>
    </x:xf>
    <x:xf numFmtId="171" fontId="10" fillId="3" borderId="0" xfId="0" applyAlignment="1">
      <x:alignment horizontal="general" vertical="center" wrapText="1"/>
    </x:xf>
    <x:xf numFmtId="1" fontId="10" fillId="3" borderId="0" xfId="0" applyAlignment="1">
      <x:alignment horizontal="center" vertical="bottom"/>
    </x:xf>
    <x:xf numFmtId="167" fontId="10" fillId="3" borderId="0" xfId="0" applyAlignment="1">
      <x:alignment horizontal="general" vertical="bottom"/>
    </x:xf>
    <x:xf numFmtId="170" fontId="10" fillId="3" borderId="0" xfId="0" applyAlignment="1">
      <x:alignment horizontal="general" vertical="bottom"/>
    </x:xf>
    <x:xf numFmtId="0" fontId="14" fillId="3" borderId="0" xfId="0" applyAlignment="1">
      <x:alignment horizontal="general" vertical="bottom"/>
    </x:xf>
    <x:xf numFmtId="0" fontId="6" fillId="0" borderId="0" xfId="0" applyAlignment="1">
      <x:alignment horizontal="general" vertical="center" wrapText="1"/>
    </x:xf>
    <x:xf numFmtId="0" fontId="0" fillId="0" borderId="4" xfId="0"/>
    <x:xf numFmtId="0" fontId="0" fillId="0" borderId="5" xfId="0"/>
    <x:xf numFmtId="167" fontId="10" fillId="3" borderId="1" xfId="0" applyAlignment="1">
      <x:alignment horizontal="general" vertical="bottom"/>
    </x:xf>
    <x:xf numFmtId="165" fontId="10" fillId="3" borderId="1" xfId="0" applyAlignment="1">
      <x:alignment horizontal="general" vertical="bottom"/>
    </x:xf>
    <x:xf numFmtId="165" fontId="11" fillId="3" borderId="1" xfId="0" applyAlignment="1">
      <x:alignment horizontal="general" vertical="bottom"/>
    </x:xf>
    <x:xf numFmtId="0" fontId="15" fillId="0" borderId="0" xfId="0" applyAlignment="1">
      <x:alignment horizontal="general" vertical="bottom"/>
    </x:xf>
    <x:xf numFmtId="164" fontId="15" fillId="0" borderId="0" xfId="0" applyAlignment="1">
      <x:alignment horizontal="general" vertical="bottom"/>
    </x:xf>
    <x:xf numFmtId="170" fontId="15" fillId="0" borderId="0" xfId="0" applyAlignment="1">
      <x:alignment horizontal="general" vertical="bottom"/>
    </x:xf>
    <x:xf numFmtId="167" fontId="15" fillId="0" borderId="0" xfId="0" applyAlignment="1">
      <x:alignment horizontal="general" vertical="bottom"/>
    </x:xf>
    <x:xf numFmtId="0" fontId="12" fillId="0" borderId="0" xfId="0" applyAlignment="1">
      <x:alignment horizontal="general" vertical="bottom"/>
    </x:xf>
    <x:xf numFmtId="170" fontId="0" fillId="2" borderId="1" xfId="0" applyAlignment="1" applyProtection="1">
      <x:alignment horizontal="general" vertical="center"/>
      <x:protection locked="0" hidden="0"/>
    </x:xf>
    <x:xf numFmtId="168" fontId="6" fillId="3" borderId="1" xfId="0" applyAlignment="1">
      <x:alignment horizontal="general" vertical="bottom"/>
    </x:xf>
    <x:xf numFmtId="169" fontId="0" fillId="3" borderId="1" xfId="0" applyAlignment="1">
      <x:alignment horizontal="general" vertical="bottom"/>
    </x:xf>
    <x:xf numFmtId="0" fontId="13" fillId="0" borderId="0" xfId="0" applyAlignment="1">
      <x:alignment horizontal="general" vertical="top" wrapText="1"/>
    </x:xf>
    <x:xf numFmtId="0" fontId="0" fillId="0" borderId="0" xfId="0" applyProtection="1">
      <x:protection locked="0" hidden="0"/>
    </x:xf>
    <x:xf numFmtId="0" fontId="0" fillId="2" borderId="0" xfId="0" applyAlignment="1" applyProtection="1">
      <x:alignment horizontal="general" vertical="bottom"/>
      <x:protection locked="0" hidden="0"/>
    </x:xf>
    <x:xf numFmtId="0" fontId="10" fillId="0" borderId="0" xfId="0" applyAlignment="1">
      <x:alignment horizontal="general" vertical="top" wrapText="1"/>
    </x:xf>
    <x:xf numFmtId="2" fontId="10" fillId="0" borderId="0" xfId="0" applyAlignment="1">
      <x:alignment horizontal="general" vertical="bottom"/>
    </x:xf>
    <x:xf numFmtId="3" fontId="10" fillId="0" borderId="0" xfId="0" applyAlignment="1">
      <x:alignment horizontal="general" vertical="bottom"/>
    </x:xf>
  </x:cellXfs>
  <x:cellStyles count="6">
    <x:cellStyle name="Normal" xfId="0"/>
    <x:cellStyle name="Comma" xfId="1"/>
    <x:cellStyle name="Comma [0]" xfId="2"/>
    <x:cellStyle name="Currency" xfId="3"/>
    <x:cellStyle name="Currency [0]" xfId="4"/>
    <x:cellStyle name="Percent" xfId="5"/>
  </x:cellStyles>
  <x:dxfs count="1">
    <x:dxf>
      <x:font>
        <x:b/>
        <x:color rgb="FFC00000"/>
      </x:font>
      <x:fill>
        <x:patternFill>
          <x:bgColor rgb="FFF8CBAD"/>
        </x:patternFill>
      </x:fill>
    </x:dxf>
  </x:dxf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D9E1F2"/>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8CBAD"/>
      <x:rgbColor rgb="FF3366FF"/>
      <x:rgbColor rgb="FF33CCCC"/>
      <x:rgbColor rgb="FF99CC00"/>
      <x:rgbColor rgb="FFFFCC00"/>
      <x:rgbColor rgb="FFFF9900"/>
      <x:rgbColor rgb="FFFF6600"/>
      <x:rgbColor rgb="FF59595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818083e1d6d4274" /><Relationship Type="http://schemas.openxmlformats.org/officeDocument/2006/relationships/theme" Target="/xl/theme/theme1.xml" Id="R8c9ac99a312a4b8e" /><Relationship Type="http://schemas.openxmlformats.org/officeDocument/2006/relationships/sharedStrings" Target="/xl/sharedStrings.xml" Id="R10f2ba7ba47f416b" /><Relationship Type="http://schemas.openxmlformats.org/officeDocument/2006/relationships/worksheet" Target="/xl/worksheets/sheet1.xml" Id="Rb2efb9719eb745eb" /><Relationship Type="http://schemas.openxmlformats.org/officeDocument/2006/relationships/worksheet" Target="/xl/worksheets/sheet2.xml" Id="Rac138e2d748545c6" /><Relationship Type="http://schemas.openxmlformats.org/officeDocument/2006/relationships/worksheet" Target="/xl/worksheets/sheet3.xml" Id="Rb72f14ea59de421e" /><Relationship Type="http://schemas.openxmlformats.org/officeDocument/2006/relationships/worksheet" Target="/xl/worksheets/sheet4.xml" Id="R43bdb3dad2b64ebb" /><Relationship Type="http://schemas.openxmlformats.org/officeDocument/2006/relationships/worksheet" Target="/xl/worksheets/sheet5.xml" Id="Rc41685971f2248ff" /><Relationship Type="http://schemas.openxmlformats.org/officeDocument/2006/relationships/worksheet" Target="/xl/worksheets/sheet6.xml" Id="Rf162211da3f842df" /><Relationship Type="http://schemas.openxmlformats.org/officeDocument/2006/relationships/worksheet" Target="/xl/worksheets/sheet7.xml" Id="R134379868daf4913" /><Relationship Type="http://schemas.openxmlformats.org/officeDocument/2006/relationships/worksheet" Target="/xl/worksheets/sheet8.xml" Id="Rfe88b091e3034d9c" /><Relationship Type="http://schemas.openxmlformats.org/officeDocument/2006/relationships/worksheet" Target="/xl/worksheets/sheet9.xml" Id="R60664b62b01f4504" /><Relationship Type="http://schemas.openxmlformats.org/officeDocument/2006/relationships/worksheet" Target="/xl/worksheets/sheet10.xml" Id="R7965a81ac39b4203" /><Relationship Type="http://schemas.openxmlformats.org/officeDocument/2006/relationships/worksheet" Target="/xl/worksheets/sheet11.xml" Id="Rcc80fd8cde90405c" /><Relationship Type="http://schemas.openxmlformats.org/officeDocument/2006/relationships/worksheet" Target="/xl/worksheets/sheet12.xml" Id="R80924917297644ae"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8" defaultColWidth="8.6796875" defaultRowHeight="15"/>
  <x:cols>
    <x:col min="1" max="1" width="130" style="111" customWidth="1"/>
  </x:cols>
  <x:sheetData>
    <x:row r="1" s="112" customFormat="1" ht="17.25" customHeight="1">
      <x:c r="A1" s="113" t="inlineStr">
        <x:is>
          <x:t xml:space="preserve">CS9 · Kinh tế sản phẩm AI: chi phí, định giá, hiệu quả đầu tư — File thực hành</x:t>
        </x:is>
      </x:c>
    </x:row>
    <x:row r="2" s="112" customFormat="1" ht="46.5" customHeight="1">
      <x:c r="A2" s="114" t="inlineStr">
        <x:is>
          <x:t xml:space="preserve">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x:t>
        </x:is>
      </x:c>
    </x:row>
    <x:row r="3" s="112" customFormat="1" ht="31.5" customHeight="1">
      <x:c r="A3" s="115" t="inlineStr">
        <x:is>
          <x:t xml:space="preserve">Ô tự kiểm tra: "Đạt" là ổn. "Xem lại", "Chưa đủ sốc" là câu hỏi để nhóm soát: sửa nếu nhập sai; nếu số đúng thì giữ nguyên và giải thích ở trang 7. Không chỉnh giả định chỉ để được "Đạt".</x:t>
        </x:is>
      </x:c>
    </x:row>
    <x:row r="4" s="112" customFormat="1" ht="31.5" customHeight="1">
      <x:c r="A4" s="115" t="inlineStr">
        <x:is>
          <x:t xml:space="preserve">Luật chơi: CHỈ điền vào ô màu VÀNG (một số ô vàng có sẵn số mặc định, sửa được). Ô màu XANH LÁ NHẠT là công thức, đã khóa. Cột "Gợi ý" chữ xám (trang 1, 3, 6) chỉ cách lấy số và giá trị của bản mẫu, không cần điền.</x:t>
        </x:is>
      </x:c>
    </x:row>
    <x:row r="5" s="112" customFormat="1" ht="46.5" customHeight="1">
      <x:c r="A5" s="115" t="inlineStr">
        <x:is>
          <x:t xml:space="preserve">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x:t>
        </x:is>
      </x:c>
    </x:row>
    <x:row r="6" s="112" customFormat="1" ht="46.5" customHeight="1">
      <x:c r="A6" s="115" t="inlineStr">
        <x:is>
          <x:t xml:space="preserve">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x:t>
        </x:is>
      </x:c>
    </x:row>
    <x:row r="7" s="112" customFormat="1" ht="31.5" customHeight="1">
      <x:c r="A7" s="115" t="inlineStr">
        <x:is>
          <x:t xml:space="preserve">Giá token: tra bảng giá chính thức của nhà cung cấp vào ngày làm bài, ghi tên mô hình và ngày tra. Tỷ giá: ghi nguồn và ngày. Trang 9 có sẵn một số số liệu đã kiểm chứng.</x:t>
        </x:is>
      </x:c>
    </x:row>
    <x:row r="8" s="112" customFormat="1" ht="16.5" customHeight="1">
      <x:c r="A8" s="115" t="inlineStr">
        <x:is>
          <x:t xml:space="preserve">Kịch bản xấu phải là cú sốc thật: tỷ lệ rời bỏ và chi phí có một khách tối thiểu gấp 1,5 lần kịch bản cơ sở (trang 3 tự kiểm tra).</x:t>
        </x:is>
      </x:c>
    </x:row>
    <x:row r="9" s="112" customFormat="1" ht="46.5" customHeight="1">
      <x:c r="A9" s="115" t="inlineStr">
        <x:is>
          <x:t xml:space="preserve">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x:t>
        </x:is>
      </x:c>
    </x:row>
    <x:row r="10" s="112" customFormat="1" ht="16.5" customHeight="1">
      <x:c r="A10" s="115" t="inlineStr">
        <x:is>
          <x:t xml:space="preserve">Tên file nộp: [Nhom]_CS9.xlsx · Nộp lên VLearn khi hết Nhiệm vụ 4.</x:t>
        </x:is>
      </x:c>
    </x:row>
    <x:row r="11" s="112" customFormat="1" ht="31.5" customHeight="1">
      <x:c r="A11" s="115" t="inlineStr">
        <x:is>
          <x:t xml:space="preserve">Nối hai buổi trước: mang phiếu bài tập 1 và bài về nhà một trang của Ngày 22 (định giá, kênh bán), và bảng theo dõi chỉ số của Ngày 23. Trang 0 chỉ chỗ dùng từng thứ.</x:t>
        </x:is>
      </x:c>
    </x:row>
    <x:row r="12" s="112" customFormat="1" ht="31.5" customHeight="1">
      <x:c r="A12" s="115" t="inlineStr">
        <x:is>
          <x:t xml:space="preserve">Nguồn tham khảo khung bài: AI in Action khóa 3 — Ngày 24 Mô hình tài chính (slide và sổ tay), Ngày 25 Định giá và đưa sản phẩm ra thị trường (Đàm Bá Quyền). File này được dựng lại cho khóa 4.</x:t>
        </x:is>
      </x:c>
    </x:row>
    <x:row r="13" s="112" customFormat="1" ht="31.5" customHeight="1">
      <x:c r="A13" s="115" t="inlineStr">
        <x:is>
          <x:t xml:space="preserve">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x:t>
        </x:is>
      </x:c>
    </x:row>
    <x:row r="14" s="112" customFormat="1" ht="16.5" customHeight="1">
      <x:c r="A14" s="115" t="inlineStr">
        <x:is>
          <x:t xml:space="preserve">Đơn vị tiền: trang A tính bằng TRIỆU đồng; từ trang 1 trở đi tính bằng ĐỒNG, riêng bảng độ nhạy ở trang 5 (dòng 56–68) ghi bằng triệu đồng.</x:t>
        </x:is>
      </x:c>
    </x:row>
    <x:row r="15" s="112" customFormat="1" ht="15" customHeight="1">
      <x:c r="A15" s="116" t="inlineStr">
        <x:is>
          <x:t xml:space="preserve">Chú thích màu:</x:t>
        </x:is>
      </x:c>
    </x:row>
    <x:row r="16" s="112" customFormat="1" ht="15" customHeight="1">
      <x:c r="A16" s="117" t="inlineStr">
        <x:is>
          <x:t xml:space="preserve">Ô điền giả định (không khóa)</x:t>
        </x:is>
      </x:c>
    </x:row>
    <x:row r="17" s="112" customFormat="1" ht="15" customHeight="1">
      <x:c r="A17" s="118" t="inlineStr">
        <x:is>
          <x:t xml:space="preserve">Ô công thức (tự tính, đã khóa)</x:t>
        </x:is>
      </x:c>
    </x:row>
    <x:row r="18" s="112" customFormat="1" ht="15" customHeight="1">
      <x:c r="A18" s="119" t="inlineStr">
        <x:is>
          <x:t xml:space="preserve">Chữ xám nghiêng ở cột Gợi ý: cách lấy số và giá trị bản mẫu (không cần điền)</x:t>
        </x:is>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baseColWidth="8" defaultColWidth="8.6796875" defaultRowHeight="15"/>
  <x:cols>
    <x:col min="1" max="1" width="52" style="111" customWidth="1"/>
    <x:col min="2" max="2" width="14" style="111" customWidth="1"/>
    <x:col min="3" max="4" width="46" style="111" customWidth="1"/>
    <x:col min="5" max="5" width="36" style="111" customWidth="1"/>
  </x:cols>
  <x:sheetData>
    <x:row r="1" s="112" customFormat="1" ht="17.25" customHeight="1">
      <x:c r="A1" s="113" t="str">
        <x:v>0 · Đầu vào nhóm 3CE — đã hoàn thành</x:v>
      </x:c>
    </x:row>
    <x:row r="2" s="112" customFormat="1" ht="15" customHeight="1">
      <x:c r="A2" s="120" t="str">
        <x:v>Đã chọn và sử dụng xuyên suốt: Đề bài 2 — ChấmNhanh.</x:v>
      </x:c>
    </x:row>
    <x:row r="4" s="112" customFormat="1" ht="26.25" customHeight="1">
      <x:c r="A4" s="121" t="str">
        <x:v>Đầu vào đã dùng</x:v>
      </x:c>
      <x:c r="B4" s="121" t="str">
        <x:v>Trạng thái</x:v>
      </x:c>
      <x:c r="C4" s="121" t="str">
        <x:v>Nội dung đã thực hiện</x:v>
      </x:c>
      <x:c r="D4" s="121" t="str">
        <x:v>Kết quả</x:v>
      </x:c>
      <x:c r="E4" s="121" t="str">
        <x:v>Ghi chú thực hiện</x:v>
      </x:c>
    </x:row>
    <x:row r="5" s="112" customFormat="1" ht="33.75" customHeight="1">
      <x:c r="A5" s="122" t="inlineStr">
        <x:is>
          <x:t xml:space="preserve">Mô hình hiệu quả đầu tư 3–6–12 tháng và tài liệu yêu cầu sản phẩm (Phase 1, Ngày 6)</x:t>
        </x:is>
      </x:c>
      <x:c r="B5" s="123" t="str">
        <x:v>Chưa có</x:v>
      </x:c>
      <x:c r="C5" s="122" t="str">
        <x:v>Đã dựng mô hình mới.</x:v>
      </x:c>
      <x:c r="D5" s="122" t="str">
        <x:v>Đã hoàn thành sheet 1–5.</x:v>
      </x:c>
      <x:c r="E5" s="123" t="str">
        <x:v>Nguồn số: tình huống ChấmNhanh.</x:v>
      </x:c>
    </x:row>
    <x:row r="6" s="112" customFormat="1" ht="33.75" customHeight="1">
      <x:c r="A6" s="122" t="inlineStr">
        <x:is>
          <x:t xml:space="preserve">Bảng giám sát agent: token, chi phí theo ngày (Ngày 13)</x:t>
        </x:is>
      </x:c>
      <x:c r="B6" s="123" t="str">
        <x:v>Chưa có</x:v>
      </x:c>
      <x:c r="C6" s="122" t="str">
        <x:v>Đã dùng số lần gọi và token của tình huống.</x:v>
      </x:c>
      <x:c r="D6" s="122" t="str">
        <x:v>Đã tính chi phí gọi AI ở sheet 1.</x:v>
      </x:c>
      <x:c r="E6" s="123" t="str">
        <x:v>Chưa có số đo vận hành thực tế.</x:v>
      </x:c>
    </x:row>
    <x:row r="7" s="112" customFormat="1" ht="33.75" customHeight="1">
      <x:c r="A7" s="122" t="inlineStr">
        <x:is>
          <x:t xml:space="preserve">Báo cáo đánh giá chất lượng (Ngày 14 hoặc buổi đánh giá Track 1)</x:t>
        </x:is>
      </x:c>
      <x:c r="B7" s="123" t="str">
        <x:v>Chưa có</x:v>
      </x:c>
      <x:c r="C7" s="122" t="str">
        <x:v>Đã dùng tỷ lệ cần giáo viên kiểm tra.</x:v>
      </x:c>
      <x:c r="D7" s="122" t="str">
        <x:v>Đã tính chi phí kiểm tra ở sheet 1.</x:v>
      </x:c>
      <x:c r="E7" s="123" t="str">
        <x:v>Tỷ lệ 10% là giả định của tình huống.</x:v>
      </x:c>
    </x:row>
    <x:row r="8" s="112" customFormat="1" ht="33.75" customHeight="1">
      <x:c r="A8" s="122" t="inlineStr">
        <x:is>
          <x:t xml:space="preserve">Phiếu bài tập 1 và bài về nhà một trang (Ngày 22)</x:t>
        </x:is>
      </x:c>
      <x:c r="B8" s="123" t="str">
        <x:v>Chưa có</x:v>
      </x:c>
      <x:c r="C8" s="122" t="str">
        <x:v>Đã nhập gói kết hợp và hai nhóm khách.</x:v>
      </x:c>
      <x:c r="D8" s="122" t="str">
        <x:v>Đã hoàn thành sheet 1–2.</x:v>
      </x:c>
      <x:c r="E8" s="123" t="str">
        <x:v>Giá và mức dùng theo tình huống.</x:v>
      </x:c>
    </x:row>
    <x:row r="9" s="112" customFormat="1" ht="33.75" customHeight="1">
      <x:c r="A9" s="122" t="inlineStr">
        <x:is>
          <x:t xml:space="preserve">Bảng theo dõi chỉ số và luật xử lý (Ngày 23)</x:t>
        </x:is>
      </x:c>
      <x:c r="B9" s="123" t="str">
        <x:v>Chưa có</x:v>
      </x:c>
      <x:c r="C9" s="122" t="str">
        <x:v>Đã dùng mức hòa vốn tự tính.</x:v>
      </x:c>
      <x:c r="D9" s="122" t="str">
        <x:v>Đã ghi luật xử lý ở sheet 7.</x:v>
      </x:c>
      <x:c r="E9" s="123" t="str">
        <x:v>Chưa có bảng theo dõi Ngày 23 riêng.</x:v>
      </x:c>
    </x:row>
    <x:row r="10" s="112" customFormat="1" ht="61.5" customHeight="1">
      <x:c r="A10" s="122" t="str">
        <x:v>Sản phẩm dùng trong bài</x:v>
      </x:c>
      <x:c r="B10" s="123" t="str">
        <x:v>Chưa</x:v>
      </x:c>
      <x:c r="C10" s="122" t="str">
        <x:v>Đã dùng xuyên suốt.</x:v>
      </x:c>
      <x:c r="D10" s="122" t="str">
        <x:v>ChấmNhanh.</x:v>
      </x:c>
      <x:c r="E10" s="123" t="str">
        <x:v>Một bài viết tiếng Anh 250–300 từ được chấm theo 4 tiêu chí và nhận xét; chưa có sản phẩm thật từ buổi trước.</x:v>
      </x:c>
    </x:row>
    <x:row r="12" s="112" customFormat="1" ht="15" customHeight="1">
      <x:c r="A12" s="116" t="str">
        <x:v>Số đầu vào thật từ buổi trước</x:v>
      </x:c>
      <x:c r="B12" s="118" t="n">
        <x:f>COUNTIF(B5:B10,"Có")</x:f>
        <x:v>0</x:v>
      </x:c>
    </x:row>
    <x:row r="13" s="112" customFormat="1" ht="15" customHeight="1">
      <x:c r="A13" s="120" t="str">
        <x:v>Các phần đã hoàn thành trên dữ liệu tình huống; không tính đầu vào thật.</x:v>
      </x:c>
    </x:row>
  </x:sheetData>
  <x:dataValidations count="1">
    <x:dataValidation type="list" errorStyle="stop" operator="between" allowBlank="1" showDropDown="0" showInputMessage="0" showErrorMessage="0" sqref="B5:B10">
      <x:formula1>"Có,Chưa"</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pane ySplit="6" topLeftCell="A7" activePane="bottomLeft" state="frozen"/>
    </x:sheetView>
  </x:sheetViews>
  <x:sheetFormatPr baseColWidth="8" defaultColWidth="8.6796875" defaultRowHeight="15"/>
  <x:cols>
    <x:col min="1" max="1" width="6" style="111" customWidth="1"/>
    <x:col min="2" max="2" width="60" style="111" customWidth="1"/>
    <x:col min="3" max="5" width="14" style="111" customWidth="1"/>
    <x:col min="6" max="6" width="30" style="111" customWidth="1"/>
    <x:col min="7" max="7" width="34" style="111" customWidth="1"/>
  </x:cols>
  <x:sheetData>
    <x:row r="1" s="112" customFormat="1" ht="17.25" customHeight="1">
      <x:c r="A1" s="113" t="inlineStr">
        <x:is>
          <x:t xml:space="preserve">A · Bài tập tài chính doanh nghiệp căn bản: lập ba báo cáo tài chính</x:t>
        </x:is>
      </x:c>
    </x:row>
    <x:row r="2" s="112" customFormat="1" ht="15" customHeight="1">
      <x:c r="A2" s="120" t="inlineStr">
        <x:is>
          <x:t xml:space="preserve">Công ty Trợ Lý Xanh bán trợ lý AI trả lời tin nhắn. Dưới đây là mọi giao dịch của 3 tháng đầu. Lập báo cáo kết quả kinh doanh, bảng cân đối kế toán và báo cáo lưu chuyển tiền tệ.</x:t>
        </x:is>
      </x:c>
    </x:row>
    <x:row r="3" s="112" customFormat="1" ht="31.5" customHeight="1">
      <x:c r="A3" s="124" t="inlineStr">
        <x:is>
          <x:t xml:space="preserve">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x:t>
        </x:is>
      </x:c>
    </x:row>
    <x:row r="5" s="112" customFormat="1" ht="15" customHeight="1">
      <x:c r="A5" s="116" t="inlineStr">
        <x:is>
          <x:t xml:space="preserve">ĐỀ BÀI · Giao dịch 3 tháng đầu</x:t>
        </x:is>
      </x:c>
    </x:row>
    <x:row r="6" s="112" customFormat="1" ht="31.5" customHeight="1">
      <x:c r="A6" s="125" t="inlineStr">
        <x:is>
          <x:t xml:space="preserve">STT</x:t>
        </x:is>
      </x:c>
      <x:c r="B6" s="125" t="inlineStr">
        <x:is>
          <x:t xml:space="preserve">Giao dịch</x:t>
        </x:is>
      </x:c>
      <x:c r="C6" s="125" t="inlineStr">
        <x:is>
          <x:t xml:space="preserve">Tháng 1</x:t>
        </x:is>
      </x:c>
      <x:c r="D6" s="125" t="inlineStr">
        <x:is>
          <x:t xml:space="preserve">Tháng 2</x:t>
        </x:is>
      </x:c>
      <x:c r="E6" s="125" t="inlineStr">
        <x:is>
          <x:t xml:space="preserve">Tháng 3</x:t>
        </x:is>
      </x:c>
      <x:c r="F6" s="125" t="inlineStr">
        <x:is>
          <x:t xml:space="preserve">Ghi chú</x:t>
        </x:is>
      </x:c>
      <x:c r="G6" s="125" t="inlineStr">
        <x:is>
          <x:t xml:space="preserve">Bài 1 · Vào báo cáo kết quả? (Có / Không · vì sao)</x:t>
        </x:is>
      </x:c>
    </x:row>
    <x:row r="7" s="112" customFormat="1" ht="30" customHeight="1">
      <x:c r="A7" s="126" t="n">
        <x:v>1</x:v>
      </x:c>
      <x:c r="B7" s="127" t="inlineStr">
        <x:is>
          <x:t xml:space="preserve">Chủ sở hữu góp vốn bằng tiền</x:t>
        </x:is>
      </x:c>
      <x:c r="C7" s="128" t="n">
        <x:v>1000</x:v>
      </x:c>
      <x:c r="D7" s="128" t="n"/>
      <x:c r="E7" s="128" t="n"/>
      <x:c r="F7" s="129" t="n"/>
      <x:c r="G7" s="130" t="str">
        <x:v>Không: vốn góp là vốn chủ sở hữu, không phải doanh thu</x:v>
      </x:c>
    </x:row>
    <x:row r="8" s="112" customFormat="1" ht="30" customHeight="1">
      <x:c r="A8" s="126" t="n">
        <x:v>2</x:v>
      </x:c>
      <x:c r="B8" s="127" t="inlineStr">
        <x:is>
          <x:t xml:space="preserve">Vay ngân hàng, gốc trả sau 3 năm</x:t>
        </x:is>
      </x:c>
      <x:c r="C8" s="128" t="n">
        <x:v>300</x:v>
      </x:c>
      <x:c r="D8" s="128" t="n"/>
      <x:c r="E8" s="128" t="n"/>
      <x:c r="F8" s="129" t="inlineStr">
        <x:is>
          <x:t xml:space="preserve">Lãi 12%/năm, trả cuối mỗi tháng</x:t>
        </x:is>
      </x:c>
      <x:c r="G8" s="130" t="str">
        <x:v>Không: tiền vay là nợ; chỉ lãi vay 3 triệu/tháng vào báo cáo</x:v>
      </x:c>
    </x:row>
    <x:row r="9" s="112" customFormat="1" ht="30" customHeight="1">
      <x:c r="A9" s="126" t="n">
        <x:v>3</x:v>
      </x:c>
      <x:c r="B9" s="127" t="inlineStr">
        <x:is>
          <x:t xml:space="preserve">Mua máy chủ, trả tiền ngay</x:t>
        </x:is>
      </x:c>
      <x:c r="C9" s="128" t="n">
        <x:v>360</x:v>
      </x:c>
      <x:c r="D9" s="128" t="n"/>
      <x:c r="E9" s="128" t="n"/>
      <x:c r="F9" s="129" t="inlineStr">
        <x:is>
          <x:t xml:space="preserve">Dùng 36 tháng, khấu hao đều</x:t>
        </x:is>
      </x:c>
      <x:c r="G9" s="130" t="str">
        <x:v>Không: mua tài sản dùng lâu; chỉ khấu hao 10 triệu/tháng vào báo cáo</x:v>
      </x:c>
    </x:row>
    <x:row r="10" s="112" customFormat="1" ht="30" customHeight="1">
      <x:c r="A10" s="126" t="n">
        <x:v>4</x:v>
      </x:c>
      <x:c r="B10" s="127" t="inlineStr">
        <x:is>
          <x:t xml:space="preserve">Bán gói tháng cho cửa hàng nhỏ, thu tiền ngay</x:t>
        </x:is>
      </x:c>
      <x:c r="C10" s="128" t="n">
        <x:v>50</x:v>
      </x:c>
      <x:c r="D10" s="128" t="n">
        <x:v>80</x:v>
      </x:c>
      <x:c r="E10" s="128" t="n">
        <x:v>110</x:v>
      </x:c>
      <x:c r="F10" s="129" t="n"/>
      <x:c r="G10" s="130" t="str">
        <x:v>Có: doanh thu tháng nào ghi tháng đó</x:v>
      </x:c>
    </x:row>
    <x:row r="11" s="112" customFormat="1" ht="30" customHeight="1">
      <x:c r="A11" s="126" t="n">
        <x:v>5</x:v>
      </x:c>
      <x:c r="B11" s="127" t="inlineStr">
        <x:is>
          <x:t xml:space="preserve">Ngân hàng X trả trước gói 12 tháng</x:t>
        </x:is>
      </x:c>
      <x:c r="C11" s="128" t="n">
        <x:v>240</x:v>
      </x:c>
      <x:c r="D11" s="128" t="n"/>
      <x:c r="E11" s="128" t="n"/>
      <x:c r="F11" s="129" t="inlineStr">
        <x:is>
          <x:t xml:space="preserve">Dịch vụ chạy đều từ tháng 1</x:t>
        </x:is>
      </x:c>
      <x:c r="G11" s="130" t="str">
        <x:v>Một phần: mỗi tháng 20 triệu; phần còn lại là doanh thu chưa thực hiện</x:v>
      </x:c>
    </x:row>
    <x:row r="12" s="112" customFormat="1" ht="30" customHeight="1">
      <x:c r="A12" s="126" t="n">
        <x:v>6</x:v>
      </x:c>
      <x:c r="B12" s="127" t="inlineStr">
        <x:is>
          <x:t xml:space="preserve">Dự án triển khai cho công ty Y được nghiệm thu</x:t>
        </x:is>
      </x:c>
      <x:c r="C12" s="128" t="n"/>
      <x:c r="D12" s="128" t="n">
        <x:v>90</x:v>
      </x:c>
      <x:c r="E12" s="128" t="n"/>
      <x:c r="F12" s="129" t="inlineStr">
        <x:is>
          <x:t xml:space="preserve">Y trả tiền sau 60 ngày (tháng 4)</x:t>
        </x:is>
      </x:c>
      <x:c r="G12" s="130" t="str">
        <x:v>Có: 90 triệu doanh thu tháng 2, khi nghiệm thu</x:v>
      </x:c>
    </x:row>
    <x:row r="13" s="112" customFormat="1" ht="30" customHeight="1">
      <x:c r="A13" s="126" t="n">
        <x:v>7</x:v>
      </x:c>
      <x:c r="B13" s="127" t="inlineStr">
        <x:is>
          <x:t xml:space="preserve">Chi phí gọi AI phát sinh trong tháng</x:t>
        </x:is>
      </x:c>
      <x:c r="C13" s="128" t="n">
        <x:v>15</x:v>
      </x:c>
      <x:c r="D13" s="128" t="n">
        <x:v>25</x:v>
      </x:c>
      <x:c r="E13" s="128" t="n">
        <x:v>35</x:v>
      </x:c>
      <x:c r="F13" s="129" t="inlineStr">
        <x:is>
          <x:t xml:space="preserve">Nhà cung cấp cho trả vào tháng sau</x:t>
        </x:is>
      </x:c>
      <x:c r="G13" s="130" t="str">
        <x:v>Có: ghi vào tháng dùng, dù trả tiền tháng sau</x:v>
      </x:c>
    </x:row>
    <x:row r="14" s="112" customFormat="1" ht="30" customHeight="1">
      <x:c r="A14" s="126" t="n">
        <x:v>8</x:v>
      </x:c>
      <x:c r="B14" s="127" t="inlineStr">
        <x:is>
          <x:t xml:space="preserve">Người kiểm tra câu trả lời, trả trong tháng</x:t>
        </x:is>
      </x:c>
      <x:c r="C14" s="128" t="n">
        <x:v>10</x:v>
      </x:c>
      <x:c r="D14" s="128" t="n">
        <x:v>10</x:v>
      </x:c>
      <x:c r="E14" s="128" t="n">
        <x:v>10</x:v>
      </x:c>
      <x:c r="F14" s="129" t="n"/>
      <x:c r="G14" s="130" t="str">
        <x:v>Có: giá vốn</x:v>
      </x:c>
    </x:row>
    <x:row r="15" s="112" customFormat="1" ht="30" customHeight="1">
      <x:c r="A15" s="126" t="n">
        <x:v>9</x:v>
      </x:c>
      <x:c r="B15" s="127" t="inlineStr">
        <x:is>
          <x:t xml:space="preserve">Lương đội phát triển và bán hàng, trả trong tháng</x:t>
        </x:is>
      </x:c>
      <x:c r="C15" s="128" t="n">
        <x:v>120</x:v>
      </x:c>
      <x:c r="D15" s="128" t="n">
        <x:v>120</x:v>
      </x:c>
      <x:c r="E15" s="128" t="n">
        <x:v>120</x:v>
      </x:c>
      <x:c r="F15" s="129" t="n"/>
      <x:c r="G15" s="130" t="str">
        <x:v>Có: chi phí hoạt động</x:v>
      </x:c>
    </x:row>
    <x:row r="16" s="112" customFormat="1" ht="30" customHeight="1">
      <x:c r="A16" s="126" t="n">
        <x:v>10</x:v>
      </x:c>
      <x:c r="B16" s="127" t="inlineStr">
        <x:is>
          <x:t xml:space="preserve">Thuê văn phòng, trả trong tháng</x:t>
        </x:is>
      </x:c>
      <x:c r="C16" s="128" t="n">
        <x:v>20</x:v>
      </x:c>
      <x:c r="D16" s="128" t="n">
        <x:v>20</x:v>
      </x:c>
      <x:c r="E16" s="128" t="n">
        <x:v>20</x:v>
      </x:c>
      <x:c r="F16" s="129" t="n"/>
      <x:c r="G16" s="130" t="str">
        <x:v>Có: chi phí hoạt động</x:v>
      </x:c>
    </x:row>
    <x:row r="17" s="112" customFormat="1" ht="30" customHeight="1">
      <x:c r="A17" s="126" t="n">
        <x:v>11</x:v>
      </x:c>
      <x:c r="B17" s="127" t="inlineStr">
        <x:is>
          <x:t xml:space="preserve">Thuế thu nhập doanh nghiệp</x:t>
        </x:is>
      </x:c>
      <x:c r="C17" s="128" t="n">
        <x:v>0</x:v>
      </x:c>
      <x:c r="D17" s="128" t="n">
        <x:v>0</x:v>
      </x:c>
      <x:c r="E17" s="128" t="n">
        <x:v>0</x:v>
      </x:c>
      <x:c r="F17" s="129" t="inlineStr">
        <x:is>
          <x:t xml:space="preserve">Lỗ lũy kế nên chưa phát sinh thuế</x:t>
        </x:is>
      </x:c>
      <x:c r="G17" s="130" t="str">
        <x:v>Có: bằng 0 vì đang lỗ</x:v>
      </x:c>
    </x:row>
    <x:row r="19" s="112" customFormat="1" ht="16.5" customHeight="1">
      <x:c r="A19" s="131" t="inlineStr">
        <x:is>
          <x:t xml:space="preserve">BÀI 1 · BÁO CÁO KẾT QUẢ KINH DOANH (10 phút). Ghi theo tháng phát sinh, không theo ngày tiền vào ra. Chi phí ghi số dương; dòng lợi nhuận = kết quả cộng trừ.</x:t>
        </x:is>
      </x:c>
    </x:row>
    <x:row r="20" s="112" customFormat="1" ht="15" customHeight="1">
      <x:c r="B20" s="125" t="inlineStr">
        <x:is>
          <x:t xml:space="preserve">Khoản mục</x:t>
        </x:is>
      </x:c>
      <x:c r="C20" s="125" t="inlineStr">
        <x:is>
          <x:t xml:space="preserve">Tháng 1</x:t>
        </x:is>
      </x:c>
      <x:c r="D20" s="125" t="inlineStr">
        <x:is>
          <x:t xml:space="preserve">Tháng 2</x:t>
        </x:is>
      </x:c>
      <x:c r="E20" s="125" t="inlineStr">
        <x:is>
          <x:t xml:space="preserve">Tháng 3</x:t>
        </x:is>
      </x:c>
      <x:c r="F20" s="125" t="inlineStr">
        <x:is>
          <x:t xml:space="preserve">Cộng 3 tháng</x:t>
        </x:is>
      </x:c>
      <x:c r="G20" s="125" t="inlineStr">
        <x:is>
          <x:t xml:space="preserve">Tự kiểm tra</x:t>
        </x:is>
      </x:c>
    </x:row>
    <x:row r="21" s="112" customFormat="1" ht="15" customHeight="1">
      <x:c r="B21" s="132" t="inlineStr">
        <x:is>
          <x:t xml:space="preserve">Doanh thu</x:t>
        </x:is>
      </x:c>
      <x:c r="C21" s="133" t="n">
        <x:f>C10+C11/12</x:f>
        <x:v>70</x:v>
      </x:c>
      <x:c r="D21" s="133" t="n">
        <x:f>D10+C11/12+D12</x:f>
        <x:v>190</x:v>
      </x:c>
      <x:c r="E21" s="133" t="n">
        <x:f>E10+C11/12</x:f>
        <x:v>130</x:v>
      </x:c>
      <x:c r="F21" s="134" t="n">
        <x:f>IF(COUNT(C21:E21)=0,"",SUM(C21:E21))</x:f>
        <x:v>390</x:v>
      </x:c>
    </x:row>
    <x:row r="22" s="112" customFormat="1" ht="15" customHeight="1">
      <x:c r="B22" s="132" t="inlineStr">
        <x:is>
          <x:t xml:space="preserve">Giá vốn (gọi AI + người kiểm tra)</x:t>
        </x:is>
      </x:c>
      <x:c r="C22" s="133" t="n">
        <x:f>C13+C14</x:f>
        <x:v>25</x:v>
      </x:c>
      <x:c r="D22" s="133" t="n">
        <x:f>D13+D14</x:f>
        <x:v>35</x:v>
      </x:c>
      <x:c r="E22" s="133" t="n">
        <x:f>E13+E14</x:f>
        <x:v>45</x:v>
      </x:c>
      <x:c r="F22" s="134" t="n">
        <x:f>IF(COUNT(C22:E22)=0,"",SUM(C22:E22))</x:f>
        <x:v>105</x:v>
      </x:c>
    </x:row>
    <x:row r="23" s="112" customFormat="1" ht="15" customHeight="1">
      <x:c r="B23" s="135" t="inlineStr">
        <x:is>
          <x:t xml:space="preserve">Lợi nhuận gộp</x:t>
        </x:is>
      </x:c>
      <x:c r="C23" s="133" t="n">
        <x:f>C21-C22</x:f>
        <x:v>45</x:v>
      </x:c>
      <x:c r="D23" s="133" t="n">
        <x:f>D21-D22</x:f>
        <x:v>155</x:v>
      </x:c>
      <x:c r="E23" s="133" t="n">
        <x:f>E21-E22</x:f>
        <x:v>85</x:v>
      </x:c>
      <x:c r="F23" s="136" t="n">
        <x:f>IF(COUNT(C23:E23)=0,"",SUM(C23:E23))</x:f>
        <x:v>285</x:v>
      </x:c>
      <x:c r="G23" s="137" t="str">
        <x:f>IF(COUNT(C21:E21,C22:E22,C23:E23)&lt;9,"Chưa điền",IF(AND(ABS(C23-(C21-C22))&lt;0.01,ABS(D23-(D21-D22))&lt;0.01,ABS(E23-(E21-E22))&lt;0.01),"Đạt","Xem lại phép trừ"))</x:f>
        <x:v>Đạt</x:v>
      </x:c>
    </x:row>
    <x:row r="24" s="112" customFormat="1" ht="15" customHeight="1">
      <x:c r="B24" s="132" t="inlineStr">
        <x:is>
          <x:t xml:space="preserve">Chi phí hoạt động (lương + văn phòng)</x:t>
        </x:is>
      </x:c>
      <x:c r="C24" s="133" t="n">
        <x:f>C15+C16</x:f>
        <x:v>140</x:v>
      </x:c>
      <x:c r="D24" s="133" t="n">
        <x:f>D15+D16</x:f>
        <x:v>140</x:v>
      </x:c>
      <x:c r="E24" s="133" t="n">
        <x:f>E15+E16</x:f>
        <x:v>140</x:v>
      </x:c>
      <x:c r="F24" s="134" t="n">
        <x:f>IF(COUNT(C24:E24)=0,"",SUM(C24:E24))</x:f>
        <x:v>420</x:v>
      </x:c>
    </x:row>
    <x:row r="25" s="112" customFormat="1" ht="15" customHeight="1">
      <x:c r="B25" s="135" t="inlineStr">
        <x:is>
          <x:t xml:space="preserve">Lợi nhuận trước lãi vay, thuế và khấu hao (EBITDA)</x:t>
        </x:is>
      </x:c>
      <x:c r="C25" s="133" t="n">
        <x:f>C23-C24</x:f>
        <x:v>-95</x:v>
      </x:c>
      <x:c r="D25" s="133" t="n">
        <x:f>D23-D24</x:f>
        <x:v>15</x:v>
      </x:c>
      <x:c r="E25" s="133" t="n">
        <x:f>E23-E24</x:f>
        <x:v>-55</x:v>
      </x:c>
      <x:c r="F25" s="136" t="n">
        <x:f>IF(COUNT(C25:E25)=0,"",SUM(C25:E25))</x:f>
        <x:v>-135</x:v>
      </x:c>
      <x:c r="G25" s="137" t="str">
        <x:f>IF(COUNT(C23:E23,C24:E24,C25:E25)&lt;9,"Chưa điền",IF(AND(ABS(C25-(C23-C24))&lt;0.01,ABS(D25-(D23-D24))&lt;0.01,ABS(E25-(E23-E24))&lt;0.01),"Đạt","Xem lại phép trừ"))</x:f>
        <x:v>Đạt</x:v>
      </x:c>
    </x:row>
    <x:row r="26" s="112" customFormat="1" ht="15" customHeight="1">
      <x:c r="B26" s="132" t="inlineStr">
        <x:is>
          <x:t xml:space="preserve">Khấu hao</x:t>
        </x:is>
      </x:c>
      <x:c r="C26" s="133" t="n">
        <x:f>$C$9/36</x:f>
        <x:v>10</x:v>
      </x:c>
      <x:c r="D26" s="133" t="n">
        <x:f>$C$9/36</x:f>
        <x:v>10</x:v>
      </x:c>
      <x:c r="E26" s="133" t="n">
        <x:f>$C$9/36</x:f>
        <x:v>10</x:v>
      </x:c>
      <x:c r="F26" s="134" t="n">
        <x:f>IF(COUNT(C26:E26)=0,"",SUM(C26:E26))</x:f>
        <x:v>30</x:v>
      </x:c>
    </x:row>
    <x:row r="27" s="112" customFormat="1" ht="15" customHeight="1">
      <x:c r="B27" s="135" t="inlineStr">
        <x:is>
          <x:t xml:space="preserve">Lợi nhuận hoạt động</x:t>
        </x:is>
      </x:c>
      <x:c r="C27" s="133" t="n">
        <x:f>C25-C26</x:f>
        <x:v>-105</x:v>
      </x:c>
      <x:c r="D27" s="133" t="n">
        <x:f>D25-D26</x:f>
        <x:v>5</x:v>
      </x:c>
      <x:c r="E27" s="133" t="n">
        <x:f>E25-E26</x:f>
        <x:v>-65</x:v>
      </x:c>
      <x:c r="F27" s="136" t="n">
        <x:f>IF(COUNT(C27:E27)=0,"",SUM(C27:E27))</x:f>
        <x:v>-165</x:v>
      </x:c>
      <x:c r="G27" s="137" t="str">
        <x:f>IF(COUNT(C25:E25,C26:E26,C27:E27)&lt;9,"Chưa điền",IF(AND(ABS(C27-(C25-C26))&lt;0.01,ABS(D27-(D25-D26))&lt;0.01,ABS(E27-(E25-E26))&lt;0.01),"Đạt","Xem lại phép trừ"))</x:f>
        <x:v>Đạt</x:v>
      </x:c>
    </x:row>
    <x:row r="28" s="112" customFormat="1" ht="15" customHeight="1">
      <x:c r="B28" s="132" t="inlineStr">
        <x:is>
          <x:t xml:space="preserve">Lãi vay</x:t>
        </x:is>
      </x:c>
      <x:c r="C28" s="133" t="n">
        <x:f>$C$8*12%/12</x:f>
        <x:v>3</x:v>
      </x:c>
      <x:c r="D28" s="133" t="n">
        <x:f>$C$8*12%/12</x:f>
        <x:v>3</x:v>
      </x:c>
      <x:c r="E28" s="133" t="n">
        <x:f>$C$8*12%/12</x:f>
        <x:v>3</x:v>
      </x:c>
      <x:c r="F28" s="134" t="n">
        <x:f>IF(COUNT(C28:E28)=0,"",SUM(C28:E28))</x:f>
        <x:v>9</x:v>
      </x:c>
    </x:row>
    <x:row r="29" s="112" customFormat="1" ht="15" customHeight="1">
      <x:c r="B29" s="135" t="inlineStr">
        <x:is>
          <x:t xml:space="preserve">Lợi nhuận trước thuế</x:t>
        </x:is>
      </x:c>
      <x:c r="C29" s="133" t="n">
        <x:f>C27-C28</x:f>
        <x:v>-108</x:v>
      </x:c>
      <x:c r="D29" s="133" t="n">
        <x:f>D27-D28</x:f>
        <x:v>2</x:v>
      </x:c>
      <x:c r="E29" s="133" t="n">
        <x:f>E27-E28</x:f>
        <x:v>-68</x:v>
      </x:c>
      <x:c r="F29" s="136" t="n">
        <x:f>IF(COUNT(C29:E29)=0,"",SUM(C29:E29))</x:f>
        <x:v>-174</x:v>
      </x:c>
      <x:c r="G29" s="137" t="str">
        <x:f>IF(COUNT(C27:E27,C28:E28,C29:E29)&lt;9,"Chưa điền",IF(AND(ABS(C29-(C27-C28))&lt;0.01,ABS(D29-(D27-D28))&lt;0.01,ABS(E29-(E27-E28))&lt;0.01),"Đạt","Xem lại phép trừ"))</x:f>
        <x:v>Đạt</x:v>
      </x:c>
    </x:row>
    <x:row r="30" s="112" customFormat="1" ht="15" customHeight="1">
      <x:c r="B30" s="132" t="inlineStr">
        <x:is>
          <x:t xml:space="preserve">Thuế thu nhập doanh nghiệp</x:t>
        </x:is>
      </x:c>
      <x:c r="C30" s="133" t="n">
        <x:f>C17</x:f>
        <x:v>0</x:v>
      </x:c>
      <x:c r="D30" s="133" t="n">
        <x:f>D17</x:f>
        <x:v>0</x:v>
      </x:c>
      <x:c r="E30" s="133" t="n">
        <x:f>E17</x:f>
        <x:v>0</x:v>
      </x:c>
      <x:c r="F30" s="134" t="n">
        <x:f>IF(COUNT(C30:E30)=0,"",SUM(C30:E30))</x:f>
        <x:v>0</x:v>
      </x:c>
    </x:row>
    <x:row r="31" s="112" customFormat="1" ht="15" customHeight="1">
      <x:c r="B31" s="135" t="inlineStr">
        <x:is>
          <x:t xml:space="preserve">Lợi nhuận sau thuế</x:t>
        </x:is>
      </x:c>
      <x:c r="C31" s="133" t="n">
        <x:f>C29-C30</x:f>
        <x:v>-108</x:v>
      </x:c>
      <x:c r="D31" s="133" t="n">
        <x:f>D29-D30</x:f>
        <x:v>2</x:v>
      </x:c>
      <x:c r="E31" s="133" t="n">
        <x:f>E29-E30</x:f>
        <x:v>-68</x:v>
      </x:c>
      <x:c r="F31" s="136" t="n">
        <x:f>IF(COUNT(C31:E31)=0,"",SUM(C31:E31))</x:f>
        <x:v>-174</x:v>
      </x:c>
      <x:c r="G31" s="137" t="str">
        <x:f>IF(COUNT(C29:E29,C30:E30,C31:E31)&lt;9,"Chưa điền",IF(AND(ABS(C31-(C29-C30))&lt;0.01,ABS(D31-(D29-D30))&lt;0.01,ABS(E31-(E29-E30))&lt;0.01),"Đạt","Xem lại phép trừ"))</x:f>
        <x:v>Đạt</x:v>
      </x:c>
    </x:row>
    <x:row r="32" s="112" customFormat="1" ht="15" customHeight="1">
      <x:c r="B32" s="132" t="inlineStr">
        <x:is>
          <x:t xml:space="preserve">Biên lợi nhuận gộp</x:t>
        </x:is>
      </x:c>
      <x:c r="C32" s="138" t="n">
        <x:f>IFERROR(C23/C21,"")</x:f>
        <x:v>0.6428571428571429</x:v>
      </x:c>
      <x:c r="D32" s="138" t="n">
        <x:f>IFERROR(D23/D21,"")</x:f>
        <x:v>0.8157894736842105</x:v>
      </x:c>
      <x:c r="E32" s="138" t="n">
        <x:f>IFERROR(E23/E21,"")</x:f>
        <x:v>0.6538461538461539</x:v>
      </x:c>
      <x:c r="F32" s="138" t="n">
        <x:f>IFERROR(F23/F21,"")</x:f>
        <x:v>0.7307692307692307</x:v>
      </x:c>
    </x:row>
    <x:row r="33" s="112" customFormat="1" ht="45" customHeight="1">
      <x:c r="B33" s="139" t="inlineStr">
        <x:is>
          <x:t xml:space="preserve">KIỂM TRA ghi theo kỳ: tổng lợi nhuận sau thuế 3 tháng (ô F31) có bằng −174 (số ở câu 3) không?</x:t>
        </x:is>
      </x:c>
      <x:c r="G33" s="140" t="str">
        <x:f>IF(COUNT(C31:E31)&lt;3,"Chưa điền",IF(ABS(F31+174)&lt;0.01,"Đạt: đã ghi theo kỳ","Chưa đúng: có giao dịch đang ghi theo ngày tiền vào ra (xem cột G, dòng 7–17)"))</x:f>
        <x:v>Đạt: đã ghi theo kỳ</x:v>
      </x:c>
    </x:row>
    <x:row r="34" s="112" customFormat="1" ht="16.5" customHeight="1">
      <x:c r="A34" s="131" t="inlineStr">
        <x:is>
          <x:t xml:space="preserve">BÀI 2 · BẢNG CÂN ĐỐI KẾ TOÁN cuối tháng 3 (Bài 2 và 3: 14 phút). Hao mòn lũy kế ghi số âm; lợi nhuận giữ lại đang lỗ thì ghi số âm.</x:t>
        </x:is>
      </x:c>
    </x:row>
    <x:row r="35" s="112" customFormat="1" ht="15" customHeight="1">
      <x:c r="B35" s="125" t="inlineStr">
        <x:is>
          <x:t xml:space="preserve">Khoản mục</x:t>
        </x:is>
      </x:c>
      <x:c r="C35" s="125" t="inlineStr">
        <x:is>
          <x:t xml:space="preserve">Số tiền</x:t>
        </x:is>
      </x:c>
      <x:c r="G35" s="125" t="inlineStr">
        <x:is>
          <x:t xml:space="preserve">Tự kiểm tra</x:t>
        </x:is>
      </x:c>
    </x:row>
    <x:row r="36" s="112" customFormat="1" ht="15" customHeight="1">
      <x:c r="B36" s="116" t="inlineStr">
        <x:is>
          <x:t xml:space="preserve">TÀI SẢN</x:t>
        </x:is>
      </x:c>
    </x:row>
    <x:row r="37" s="112" customFormat="1" ht="15" customHeight="1">
      <x:c r="B37" s="132" t="inlineStr">
        <x:is>
          <x:t xml:space="preserve">Tiền</x:t>
        </x:is>
      </x:c>
      <x:c r="C37" s="133" t="n">
        <x:f>C7+C8-C9+SUM(C10:E10)+C11-SUM(C14:E16)-SUM(C28:E28)-C13-D13</x:f>
        <x:v>921</x:v>
      </x:c>
    </x:row>
    <x:row r="38" s="112" customFormat="1" ht="15" customHeight="1">
      <x:c r="B38" s="132" t="inlineStr">
        <x:is>
          <x:t xml:space="preserve">Phải thu khách hàng</x:t>
        </x:is>
      </x:c>
      <x:c r="C38" s="133" t="n">
        <x:f>D12</x:f>
        <x:v>90</x:v>
      </x:c>
    </x:row>
    <x:row r="39" s="112" customFormat="1" ht="15" customHeight="1">
      <x:c r="B39" s="132" t="inlineStr">
        <x:is>
          <x:t xml:space="preserve">Máy chủ — nguyên giá</x:t>
        </x:is>
      </x:c>
      <x:c r="C39" s="133" t="n">
        <x:f>C9</x:f>
        <x:v>360</x:v>
      </x:c>
    </x:row>
    <x:row r="40" s="112" customFormat="1" ht="15" customHeight="1">
      <x:c r="B40" s="132" t="inlineStr">
        <x:is>
          <x:t xml:space="preserve">Hao mòn lũy kế</x:t>
        </x:is>
      </x:c>
      <x:c r="C40" s="133" t="n">
        <x:f>-SUM(C26:E26)</x:f>
        <x:v>-30</x:v>
      </x:c>
    </x:row>
    <x:row r="41" s="112" customFormat="1" ht="15" customHeight="1">
      <x:c r="B41" s="135" t="inlineStr">
        <x:is>
          <x:t xml:space="preserve">Tổng tài sản</x:t>
        </x:is>
      </x:c>
      <x:c r="C41" s="133" t="n">
        <x:f>SUM(C37:C40)</x:f>
        <x:v>1341</x:v>
      </x:c>
      <x:c r="G41" s="137" t="str">
        <x:f>IF(COUNT(C37:C41)&lt;5,"Chưa điền",IF(ABS(C41-SUM(C37:C40))&lt;0.01,"Đạt","Xem lại phép cộng"))</x:f>
        <x:v>Đạt</x:v>
      </x:c>
    </x:row>
    <x:row r="42" s="112" customFormat="1" ht="15" customHeight="1">
      <x:c r="B42" s="116" t="inlineStr">
        <x:is>
          <x:t xml:space="preserve">NỢ PHẢI TRẢ</x:t>
        </x:is>
      </x:c>
    </x:row>
    <x:row r="43" s="112" customFormat="1" ht="15" customHeight="1">
      <x:c r="B43" s="132" t="inlineStr">
        <x:is>
          <x:t xml:space="preserve">Phải trả nhà cung cấp</x:t>
        </x:is>
      </x:c>
      <x:c r="C43" s="133" t="n">
        <x:f>E13</x:f>
        <x:v>35</x:v>
      </x:c>
    </x:row>
    <x:row r="44" s="112" customFormat="1" ht="15" customHeight="1">
      <x:c r="B44" s="132" t="inlineStr">
        <x:is>
          <x:t xml:space="preserve">Doanh thu chưa thực hiện</x:t>
        </x:is>
      </x:c>
      <x:c r="C44" s="133" t="n">
        <x:f>C11-3*(C11/12)</x:f>
        <x:v>180</x:v>
      </x:c>
    </x:row>
    <x:row r="45" s="112" customFormat="1" ht="15" customHeight="1">
      <x:c r="B45" s="132" t="inlineStr">
        <x:is>
          <x:t xml:space="preserve">Vay ngân hàng</x:t>
        </x:is>
      </x:c>
      <x:c r="C45" s="133" t="n">
        <x:f>C8</x:f>
        <x:v>300</x:v>
      </x:c>
    </x:row>
    <x:row r="46" s="112" customFormat="1" ht="15" customHeight="1">
      <x:c r="B46" s="135" t="inlineStr">
        <x:is>
          <x:t xml:space="preserve">Tổng nợ phải trả</x:t>
        </x:is>
      </x:c>
      <x:c r="C46" s="133" t="n">
        <x:f>SUM(C43:C45)</x:f>
        <x:v>515</x:v>
      </x:c>
      <x:c r="G46" s="137" t="str">
        <x:f>IF(COUNT(C43:C46)&lt;4,"Chưa điền",IF(ABS(C46-SUM(C43:C45))&lt;0.01,"Đạt","Xem lại phép cộng"))</x:f>
        <x:v>Đạt</x:v>
      </x:c>
    </x:row>
    <x:row r="47" s="112" customFormat="1" ht="15" customHeight="1">
      <x:c r="B47" s="116" t="inlineStr">
        <x:is>
          <x:t xml:space="preserve">VỐN CHỦ SỞ HỮU</x:t>
        </x:is>
      </x:c>
    </x:row>
    <x:row r="48" s="112" customFormat="1" ht="15" customHeight="1">
      <x:c r="B48" s="132" t="inlineStr">
        <x:is>
          <x:t xml:space="preserve">Vốn góp</x:t>
        </x:is>
      </x:c>
      <x:c r="C48" s="133" t="n">
        <x:f>C7</x:f>
        <x:v>1000</x:v>
      </x:c>
    </x:row>
    <x:row r="49" s="112" customFormat="1" ht="15" customHeight="1">
      <x:c r="B49" s="132" t="inlineStr">
        <x:is>
          <x:t xml:space="preserve">Lợi nhuận giữ lại</x:t>
        </x:is>
      </x:c>
      <x:c r="C49" s="133" t="n">
        <x:f>F31</x:f>
        <x:v>-174</x:v>
      </x:c>
    </x:row>
    <x:row r="50" s="112" customFormat="1" ht="15" customHeight="1">
      <x:c r="B50" s="135" t="inlineStr">
        <x:is>
          <x:t xml:space="preserve">Tổng vốn chủ sở hữu</x:t>
        </x:is>
      </x:c>
      <x:c r="C50" s="133" t="n">
        <x:f>SUM(C48:C49)</x:f>
        <x:v>826</x:v>
      </x:c>
      <x:c r="G50" s="137" t="str">
        <x:f>IF(COUNT(C48:C50)&lt;3,"Chưa điền",IF(ABS(C50-SUM(C48:C49))&lt;0.01,"Đạt","Xem lại phép cộng"))</x:f>
        <x:v>Đạt</x:v>
      </x:c>
    </x:row>
    <x:row r="51" s="112" customFormat="1" ht="15" customHeight="1">
      <x:c r="B51" s="132" t="inlineStr">
        <x:is>
          <x:t xml:space="preserve">Tổng nợ phải trả + vốn chủ sở hữu</x:t>
        </x:is>
      </x:c>
      <x:c r="C51" s="133" t="n">
        <x:f>C46+C50</x:f>
        <x:v>1341</x:v>
      </x:c>
      <x:c r="G51" s="137" t="str">
        <x:f>IF(COUNT(C46,C50,C51)&lt;3,"Chưa điền",IF(ABS(C51-(C46+C50))&lt;0.01,"Đạt","Xem lại phép cộng"))</x:f>
        <x:v>Đạt</x:v>
      </x:c>
    </x:row>
    <x:row r="52" s="112" customFormat="1" ht="15" customHeight="1">
      <x:c r="B52" s="135" t="inlineStr">
        <x:is>
          <x:t xml:space="preserve">KIỂM TRA: Tài sản = Nợ phải trả + Vốn chủ sở hữu?</x:t>
        </x:is>
      </x:c>
      <x:c r="G52" s="141" t="str">
        <x:f>IF(COUNT(C41,C51)&lt;2,"Chưa điền",IF(ABS(C41-C51)&lt;0.01,"Đạt: bảng đã cân","Chưa cân: tìm khoản ghi sai"))</x:f>
        <x:v>Đạt: bảng đã cân</x:v>
      </x:c>
    </x:row>
    <x:row r="53" s="112" customFormat="1" ht="15" customHeight="1">
      <x:c r="B53" s="135" t="inlineStr">
        <x:is>
          <x:t xml:space="preserve">KIỂM TRA: Lợi nhuận giữ lại = tổng lợi nhuận sau thuế 3 tháng (bài 1)?</x:t>
        </x:is>
      </x:c>
      <x:c r="G53" s="141" t="str">
        <x:f>IF(COUNT(C49,F31)&lt;2,"Chưa điền",IF(ABS(C49-F31)&lt;0.01,"Đạt","Chưa khớp bài 1"))</x:f>
        <x:v>Đạt</x:v>
      </x:c>
    </x:row>
    <x:row r="55" s="112" customFormat="1" ht="16.5" customHeight="1">
      <x:c r="A55" s="131" t="inlineStr">
        <x:is>
          <x:t xml:space="preserve">BÀI 3 · BÁO CÁO LƯU CHUYỂN TIỀN TỆ 3 tháng, phương pháp gián tiếp. Tiền vào ghi số dương, tiền ra ghi số âm; dòng 58–61 theo đúng chữ "Cộng" / "Trừ" ở đầu dòng.</x:t>
        </x:is>
      </x:c>
    </x:row>
    <x:row r="56" s="112" customFormat="1" ht="15" customHeight="1">
      <x:c r="B56" s="125" t="inlineStr">
        <x:is>
          <x:t xml:space="preserve">Khoản mục</x:t>
        </x:is>
      </x:c>
      <x:c r="C56" s="125" t="inlineStr">
        <x:is>
          <x:t xml:space="preserve">Số tiền</x:t>
        </x:is>
      </x:c>
      <x:c r="G56" s="125" t="inlineStr">
        <x:is>
          <x:t xml:space="preserve">Tự kiểm tra</x:t>
        </x:is>
      </x:c>
    </x:row>
    <x:row r="57" s="112" customFormat="1" ht="15" customHeight="1">
      <x:c r="B57" s="132" t="inlineStr">
        <x:is>
          <x:t xml:space="preserve">Lợi nhuận sau thuế</x:t>
        </x:is>
      </x:c>
      <x:c r="C57" s="133" t="n">
        <x:f>F31</x:f>
        <x:v>-174</x:v>
      </x:c>
    </x:row>
    <x:row r="58" s="112" customFormat="1" ht="16.5" customHeight="1">
      <x:c r="B58" s="142" t="inlineStr">
        <x:is>
          <x:t xml:space="preserve">Cộng: khấu hao (không phải tiền chi ra) → số dương</x:t>
        </x:is>
      </x:c>
      <x:c r="C58" s="133" t="n">
        <x:f>F26</x:f>
        <x:v>30</x:v>
      </x:c>
    </x:row>
    <x:row r="59" s="112" customFormat="1" ht="31.5" customHeight="1">
      <x:c r="B59" s="142" t="inlineStr">
        <x:is>
          <x:t xml:space="preserve">Trừ: phải thu khách hàng tăng thêm (đã ghi doanh thu, chưa thu tiền) → số âm</x:t>
        </x:is>
      </x:c>
      <x:c r="C59" s="133" t="n">
        <x:f>-C38</x:f>
        <x:v>-90</x:v>
      </x:c>
    </x:row>
    <x:row r="60" s="112" customFormat="1" ht="31.5" customHeight="1">
      <x:c r="B60" s="142" t="inlineStr">
        <x:is>
          <x:t xml:space="preserve">Cộng: phải trả nhà cung cấp tăng thêm (đã ghi chi phí, chưa trả tiền) → số dương</x:t>
        </x:is>
      </x:c>
      <x:c r="C60" s="133" t="n">
        <x:f>C43</x:f>
        <x:v>35</x:v>
      </x:c>
    </x:row>
    <x:row r="61" s="112" customFormat="1" ht="16.5" customHeight="1">
      <x:c r="B61" s="142" t="inlineStr">
        <x:is>
          <x:t xml:space="preserve">Cộng: doanh thu chưa thực hiện tăng thêm (khách trả trước) → số dương</x:t>
        </x:is>
      </x:c>
      <x:c r="C61" s="133" t="n">
        <x:f>C44</x:f>
        <x:v>180</x:v>
      </x:c>
    </x:row>
    <x:row r="62" s="112" customFormat="1" ht="15" customHeight="1">
      <x:c r="B62" s="135" t="inlineStr">
        <x:is>
          <x:t xml:space="preserve">Dòng tiền từ hoạt động kinh doanh</x:t>
        </x:is>
      </x:c>
      <x:c r="C62" s="133" t="n">
        <x:f>SUM(C57:C61)</x:f>
        <x:v>-19</x:v>
      </x:c>
      <x:c r="G62" s="137" t="str">
        <x:f>IF(COUNT(C57:C62)&lt;6,"Chưa điền",IF(ABS(C62-SUM(C57:C61))&lt;0.01,"Đạt","Xem lại phép cộng"))</x:f>
        <x:v>Đạt</x:v>
      </x:c>
    </x:row>
    <x:row r="63" s="112" customFormat="1" ht="15" customHeight="1">
      <x:c r="B63" s="132" t="inlineStr">
        <x:is>
          <x:t xml:space="preserve">Mua máy chủ (tiền ra → số âm)</x:t>
        </x:is>
      </x:c>
      <x:c r="C63" s="133" t="n">
        <x:f>-C9</x:f>
        <x:v>-360</x:v>
      </x:c>
    </x:row>
    <x:row r="64" s="112" customFormat="1" ht="15" customHeight="1">
      <x:c r="B64" s="135" t="inlineStr">
        <x:is>
          <x:t xml:space="preserve">Dòng tiền từ hoạt động đầu tư</x:t>
        </x:is>
      </x:c>
      <x:c r="C64" s="133" t="n">
        <x:f>SUM(C63:C63)</x:f>
        <x:v>-360</x:v>
      </x:c>
      <x:c r="G64" s="137" t="str">
        <x:f>IF(COUNT(C63:C64)&lt;2,"Chưa điền",IF(ABS(C64-SUM(C63:C63))&lt;0.01,"Đạt","Xem lại phép cộng"))</x:f>
        <x:v>Đạt</x:v>
      </x:c>
    </x:row>
    <x:row r="65" s="112" customFormat="1" ht="15" customHeight="1">
      <x:c r="B65" s="132" t="inlineStr">
        <x:is>
          <x:t xml:space="preserve">Góp vốn (tiền vào → số dương)</x:t>
        </x:is>
      </x:c>
      <x:c r="C65" s="133" t="n">
        <x:f>C7</x:f>
        <x:v>1000</x:v>
      </x:c>
    </x:row>
    <x:row r="66" s="112" customFormat="1" ht="15" customHeight="1">
      <x:c r="B66" s="132" t="inlineStr">
        <x:is>
          <x:t xml:space="preserve">Vay ngân hàng (tiền vào → số dương)</x:t>
        </x:is>
      </x:c>
      <x:c r="C66" s="133" t="n">
        <x:f>C8</x:f>
        <x:v>300</x:v>
      </x:c>
    </x:row>
    <x:row r="67" s="112" customFormat="1" ht="15" customHeight="1">
      <x:c r="B67" s="135" t="inlineStr">
        <x:is>
          <x:t xml:space="preserve">Dòng tiền từ hoạt động tài chính</x:t>
        </x:is>
      </x:c>
      <x:c r="C67" s="133" t="n">
        <x:f>SUM(C65:C66)</x:f>
        <x:v>1300</x:v>
      </x:c>
      <x:c r="G67" s="137" t="str">
        <x:f>IF(COUNT(C65:C67)&lt;3,"Chưa điền",IF(ABS(C67-SUM(C65:C66))&lt;0.01,"Đạt","Xem lại phép cộng"))</x:f>
        <x:v>Đạt</x:v>
      </x:c>
    </x:row>
    <x:row r="68" s="112" customFormat="1" ht="15" customHeight="1">
      <x:c r="B68" s="135" t="inlineStr">
        <x:is>
          <x:t xml:space="preserve">Tiền tăng thêm trong kỳ</x:t>
        </x:is>
      </x:c>
      <x:c r="C68" s="133" t="n">
        <x:f>C62+C64+C67</x:f>
        <x:v>921</x:v>
      </x:c>
      <x:c r="G68" s="137" t="str">
        <x:f>IF(COUNT(C62,C64,C67,C68)&lt;4,"Chưa điền",IF(ABS(C68-(C62+C64+C67))&lt;0.01,"Đạt","Xem lại phép cộng"))</x:f>
        <x:v>Đạt</x:v>
      </x:c>
    </x:row>
    <x:row r="69" s="112" customFormat="1" ht="15" customHeight="1">
      <x:c r="B69" s="132" t="inlineStr">
        <x:is>
          <x:t xml:space="preserve">Tiền đầu kỳ</x:t>
        </x:is>
      </x:c>
      <x:c r="C69" s="143" t="n">
        <x:v>0</x:v>
      </x:c>
    </x:row>
    <x:row r="70" s="112" customFormat="1" ht="15" customHeight="1">
      <x:c r="B70" s="135" t="inlineStr">
        <x:is>
          <x:t xml:space="preserve">Tiền cuối kỳ</x:t>
        </x:is>
      </x:c>
      <x:c r="C70" s="133" t="n">
        <x:f>C68+C69</x:f>
        <x:v>921</x:v>
      </x:c>
      <x:c r="G70" s="137" t="str">
        <x:f>IF(COUNT(C68:C70)&lt;3,"Chưa điền",IF(ABS(C70-(C68+C69))&lt;0.01,"Đạt","Xem lại phép cộng"))</x:f>
        <x:v>Đạt</x:v>
      </x:c>
    </x:row>
    <x:row r="71" s="112" customFormat="1" ht="31.5" customHeight="1">
      <x:c r="B71" s="135" t="inlineStr">
        <x:is>
          <x:t xml:space="preserve">KIỂM TRA: Tiền cuối kỳ = dòng Tiền trên bảng cân đối?</x:t>
        </x:is>
      </x:c>
      <x:c r="G71" s="140" t="str">
        <x:f>IF(COUNT(C70,C37)&lt;2,"Chưa điền",IF(ABS(C70-C37)&lt;0.01,"Đạt: ba báo cáo đã khớp","Chưa khớp: soát dấu +/− ở dòng 58–66, rồi soát dòng Tiền ở bảng cân đối"))</x:f>
        <x:v>Đạt: ba báo cáo đã khớp</x:v>
      </x:c>
    </x:row>
    <x:row r="72" s="112" customFormat="1" ht="15" customHeight="1">
      <x:c r="B72" s="135" t="inlineStr">
        <x:is>
          <x:t xml:space="preserve">KIỂM TRA: Lợi nhuận sau thuế = bài 1?</x:t>
        </x:is>
      </x:c>
      <x:c r="G72" s="141" t="str">
        <x:f>IF(COUNT(C57,F31)&lt;2,"Chưa điền",IF(ABS(C57-F31)&lt;0.01,"Đạt","Chưa khớp bài 1"))</x:f>
        <x:v>Đạt</x:v>
      </x:c>
    </x:row>
    <x:row r="74" s="112" customFormat="1" ht="15" customHeight="1">
      <x:c r="A74" s="116" t="inlineStr">
        <x:is>
          <x:t xml:space="preserve">CÂU HỎI 1–4 (làm sau Bài 2 và 3; câu 4 làm khi xong sớm). Mỗi câu 1–2 câu văn.</x:t>
        </x:is>
      </x:c>
    </x:row>
    <x:row r="75" s="112" customFormat="1" ht="48" customHeight="1">
      <x:c r="B75" s="142" t="inlineStr">
        <x:is>
          <x:t xml:space="preserve">1. Tháng nào có lãi? Trong tháng đó tiền mặt tăng hay giảm, bao nhiêu, vì sao? (Gợi ý: chỉ cộng tiền thật vào và ra trong tháng đó: tiền gọi AI tháng 1 trả trong tháng 2; 90 triệu dự án Y chưa thu.)</x:t>
        </x:is>
      </x:c>
      <x:c r="C75" s="144" t="str">
        <x:v>Tháng 2 lãi 2 triệu nhưng tiền giảm 88 triệu (1.077 → 989): 90 triệu dự án Y đã ghi doanh thu mà chưa thu, lại trả 15 triệu tiền gọi AI của tháng 1.</x:v>
      </x:c>
      <x:c r="D75" s="145" t="n"/>
      <x:c r="E75" s="145" t="n"/>
      <x:c r="F75" s="145" t="n"/>
      <x:c r="G75" s="146" t="n"/>
    </x:row>
    <x:row r="76" s="112" customFormat="1" ht="48" customHeight="1">
      <x:c r="B76" s="142" t="inlineStr">
        <x:is>
          <x:t xml:space="preserve">2. 240 triệu ngân hàng X trả trước nằm ở đâu trên bảng cân đối cuối tháng 3, bao nhiêu? Vì sao không ghi hết vào doanh thu?</x:t>
        </x:is>
      </x:c>
      <x:c r="C76" s="144" t="str">
        <x:v>180 triệu ở dòng Doanh thu chưa thực hiện (nợ phải trả): công ty còn nợ ngân hàng 9 tháng dịch vụ. Chỉ 60 triệu của 3 tháng đã phục vụ mới là doanh thu.</x:v>
      </x:c>
      <x:c r="D76" s="145" t="n"/>
      <x:c r="E76" s="145" t="n"/>
      <x:c r="F76" s="145" t="n"/>
      <x:c r="G76" s="146" t="n"/>
    </x:row>
    <x:row r="77" s="112" customFormat="1" ht="48" customHeight="1">
      <x:c r="B77" s="142" t="inlineStr">
        <x:is>
          <x:t xml:space="preserve">3. Lỗ 174 triệu mà dòng tiền kinh doanh chỉ âm 19 triệu. Khoản nào bù vào? Có nên vui không?</x:t>
        </x:is>
      </x:c>
      <x:c r="C77" s="144" t="str">
        <x:v>Chủ yếu là 180 triệu khách trả trước, thêm 35 triệu chưa trả nhà cung cấp và 30 triệu khấu hao. Đó là tiền còn nợ dịch vụ và nợ nhà cung cấp, không phải tiền lãi.</x:v>
      </x:c>
      <x:c r="D77" s="145" t="n"/>
      <x:c r="E77" s="145" t="n"/>
      <x:c r="F77" s="145" t="n"/>
      <x:c r="G77" s="146" t="n"/>
    </x:row>
    <x:row r="78" s="112" customFormat="1" ht="48" customHeight="1">
      <x:c r="B78" s="142" t="inlineStr">
        <x:is>
          <x:t xml:space="preserve">4. (Xong sớm) Nếu từ tháng 4 mọi thứ giữ như tháng 3, công ty còn trụ được khoảng bao nhiêu tháng?</x:t>
        </x:is>
      </x:c>
      <x:c r="C78" s="144" t="str">
        <x:v>Mỗi tháng thu 110, chi 188 (10 + 35 + 120 + 20 + 3), đốt 78 triệu. (921 + 90 triệu Y trả ở tháng 4) ÷ 78 ≈ 13 tháng.</x:v>
      </x:c>
      <x:c r="D78" s="145" t="n"/>
      <x:c r="E78" s="145" t="n"/>
      <x:c r="F78" s="145" t="n"/>
      <x:c r="G78" s="146" t="n"/>
    </x:row>
    <x:row r="80" s="112" customFormat="1" ht="15" customHeight="1">
      <x:c r="A80" s="116" t="inlineStr">
        <x:is>
          <x:t xml:space="preserve">BÀI 5 · (Xong sớm) MUA MÁY CHỦ HAY THUÊ ĐÁM MÂY — so bằng giá trị hiện tại</x:t>
        </x:is>
      </x:c>
    </x:row>
    <x:row r="81" s="112" customFormat="1" ht="31.5" customHeight="1">
      <x:c r="B81" s="124" t="inlineStr">
        <x:is>
          <x:t xml:space="preserve">Mua: trả 360 triệu ngay, dùng 36 tháng. Thuê đám mây cùng cấu hình: 12 triệu/tháng, trả cuối mỗi tháng, trong 36 tháng. Bỏ qua chi phí vận hành và giá trị còn lại của máy.</x:t>
        </x:is>
      </x:c>
    </x:row>
    <x:row r="82" s="112" customFormat="1" ht="15" customHeight="1">
      <x:c r="B82" s="132" t="inlineStr">
        <x:is>
          <x:t xml:space="preserve">Giá mua máy chủ (triệu đồng)</x:t>
        </x:is>
      </x:c>
      <x:c r="C82" s="143" t="n">
        <x:v>360</x:v>
      </x:c>
    </x:row>
    <x:row r="83" s="112" customFormat="1" ht="15" customHeight="1">
      <x:c r="B83" s="132" t="inlineStr">
        <x:is>
          <x:t xml:space="preserve">Tiền thuê mỗi tháng (triệu đồng)</x:t>
        </x:is>
      </x:c>
      <x:c r="C83" s="143" t="n">
        <x:v>12</x:v>
      </x:c>
    </x:row>
    <x:row r="84" s="112" customFormat="1" ht="15" customHeight="1">
      <x:c r="B84" s="132" t="inlineStr">
        <x:is>
          <x:t xml:space="preserve">Số tháng</x:t>
        </x:is>
      </x:c>
      <x:c r="C84" s="143" t="n">
        <x:v>36</x:v>
      </x:c>
    </x:row>
    <x:row r="85" s="112" customFormat="1" ht="15" customHeight="1">
      <x:c r="B85" s="132" t="inlineStr">
        <x:is>
          <x:t xml:space="preserve">Chi phí vốn / năm</x:t>
        </x:is>
      </x:c>
      <x:c r="C85" s="147" t="n">
        <x:v>0.15</x:v>
      </x:c>
    </x:row>
    <x:row r="86" s="112" customFormat="1" ht="46.5" customHeight="1">
      <x:c r="B86" s="142" t="inlineStr">
        <x:is>
          <x:t xml:space="preserve">Giá trị hiện tại của 36 tháng tiền thuê. Gợi ý: =PV(C85/12; C84; -C83). Dấu trừ trước C83 để kết quả là số dương; máy đặt tiếng Anh dùng dấu phẩy thay dấu chấm phẩy.</x:t>
        </x:is>
      </x:c>
      <x:c r="C86" s="148" t="n">
        <x:f>PV(C85/12,C84,-C83)</x:f>
        <x:v>346.1672084990655</x:v>
      </x:c>
      <x:c r="G86" s="137" t="str">
        <x:f>IF(C86="","Chưa điền",IF(ABS(C86-PV(C85/12,C84,-C83))&lt;1,"Đạt","Xem lại"))</x:f>
        <x:v>Đạt</x:v>
      </x:c>
    </x:row>
    <x:row r="87" s="112" customFormat="1" ht="15" customHeight="1">
      <x:c r="B87" s="132" t="inlineStr">
        <x:is>
          <x:t xml:space="preserve">Nên mua hay thuê? (chọn Mua hoặc Thuê trong danh sách)</x:t>
        </x:is>
      </x:c>
      <x:c r="C87" s="149" t="inlineStr">
        <x:is>
          <x:t xml:space="preserve">Thuê</x:t>
        </x:is>
      </x:c>
      <x:c r="G87" s="137" t="str">
        <x:f>IF(C87="","Chưa điền",IF(C87=IF(PV(C85/12,C84,-C83)&lt;C82,"Thuê","Mua"),"Đạt","Xem lại"))</x:f>
        <x:v>Đạt</x:v>
      </x:c>
    </x:row>
    <x:row r="88" s="112" customFormat="1" ht="31.5" customHeight="1">
      <x:c r="B88" s="142" t="inlineStr">
        <x:is>
          <x:t xml:space="preserve">Nếu chi phí vốn chỉ 8%/năm: giá trị hiện tại của tiền thuê (gợi ý: =PV(0,08/12; C84; -C83))</x:t>
        </x:is>
      </x:c>
      <x:c r="C88" s="148" t="n">
        <x:f>PV(0.08/12,C84,-C83)</x:f>
        <x:v>382.9416661217342</x:v>
      </x:c>
      <x:c r="G88" s="137" t="str">
        <x:f>IF(C88="","Chưa điền",IF(ABS(C88-PV(0.08/12,C84,-C83))&lt;1,"Đạt","Xem lại"))</x:f>
        <x:v>Đạt</x:v>
      </x:c>
    </x:row>
    <x:row r="89" s="112" customFormat="1" ht="15" customHeight="1">
      <x:c r="B89" s="132" t="inlineStr">
        <x:is>
          <x:t xml:space="preserve">Khi đó nên mua hay thuê?</x:t>
        </x:is>
      </x:c>
      <x:c r="C89" s="149" t="inlineStr">
        <x:is>
          <x:t xml:space="preserve">Mua</x:t>
        </x:is>
      </x:c>
      <x:c r="G89" s="137" t="str">
        <x:f>IF(C89="","Chưa điền",IF(C89=IF(PV(0.08/12,C84,-C83)&lt;C82,"Thuê","Mua"),"Đạt","Xem lại"))</x:f>
        <x:v>Đạt</x:v>
      </x:c>
    </x:row>
  </x:sheetData>
  <x:mergeCells>
    <x:mergeCell ref="B81:G81"/>
    <x:mergeCell ref="C77:G77"/>
    <x:mergeCell ref="A3:G3"/>
    <x:mergeCell ref="A34:G34"/>
    <x:mergeCell ref="A55:G55"/>
    <x:mergeCell ref="C76:G76"/>
    <x:mergeCell ref="C75:G75"/>
    <x:mergeCell ref="A19:G19"/>
    <x:mergeCell ref="C78:G78"/>
  </x:mergeCells>
  <x:dataValidations count="1">
    <x:dataValidation type="list" errorStyle="stop" operator="between" allowBlank="1" showDropDown="0" showInputMessage="0" showErrorMessage="0" sqref="C87 C89">
      <x:formula1>"Mua,Thuê"</x:formula1>
      <x:formula2>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baseColWidth="8" defaultColWidth="8.6796875" defaultRowHeight="15"/>
  <x:cols>
    <x:col min="1" max="1" width="48" style="111" customWidth="1"/>
    <x:col min="2" max="2" width="22" style="111" customWidth="1"/>
    <x:col min="3" max="3" width="18" style="111" customWidth="1"/>
    <x:col min="4" max="4" width="60" style="111" customWidth="1"/>
    <x:col min="5" max="5" width="64" style="111" customWidth="1"/>
  </x:cols>
  <x:sheetData>
    <x:row r="1" s="112" customFormat="1" ht="17.25" customHeight="1">
      <x:c r="A1" s="113" t="str">
        <x:v>1 · Chi phí mỗi việc — ChấmNhanh đã hoàn thành</x:v>
      </x:c>
    </x:row>
    <x:row r="2" s="112" customFormat="1" ht="15" customHeight="1">
      <x:c r="A2" s="120" t="str">
        <x:v>Đã xác định một việc, nhập đủ đầu vào và tính tổng chi phí phục vụ.</x:v>
      </x:c>
    </x:row>
    <x:row r="3" s="112" customFormat="1" ht="31.5" customHeight="1">
      <x:c r="A3" s="150" t="str">
        <x:v>Đã tách chi phí phục vụ khỏi chi phí cố định, xây dựng và bán hàng.</x:v>
      </x:c>
    </x:row>
    <x:row r="4" s="112" customFormat="1" ht="15" customHeight="1">
      <x:c r="A4" s="125" t="inlineStr">
        <x:is>
          <x:t xml:space="preserve">Hạng mục</x:t>
        </x:is>
      </x:c>
      <x:c r="B4" s="125" t="inlineStr">
        <x:is>
          <x:t xml:space="preserve">Giá trị</x:t>
        </x:is>
      </x:c>
      <x:c r="C4" s="125" t="inlineStr">
        <x:is>
          <x:t xml:space="preserve">Đơn vị</x:t>
        </x:is>
      </x:c>
      <x:c r="D4" s="125" t="inlineStr">
        <x:is>
          <x:t xml:space="preserve">Nguồn / lý do</x:t>
        </x:is>
      </x:c>
      <x:c r="E4" s="125" t="str">
        <x:v>Ghi chú thực hiện</x:v>
      </x:c>
    </x:row>
    <x:row r="5" s="112" customFormat="1" ht="30" customHeight="1">
      <x:c r="A5" s="151" t="inlineStr">
        <x:is>
          <x:t xml:space="preserve">Mô tả 1 việc (Ngày 22 gọi là job)</x:t>
        </x:is>
      </x:c>
      <x:c r="B5" s="152" t="str">
        <x:v>AI nhận một bài viết tiếng Anh 250–300 từ và trả điểm theo bốn tiêu chí kèm nhận xét.</x:v>
      </x:c>
      <x:c r="C5" s="153" t="n"/>
      <x:c r="D5" s="154" t="str">
        <x:v>Nguồn số: tình huống ChấmNhanh. Đã chốt 1 bài viết 250–300 từ, chấm 4 tiêu chí và nhận xét.</x:v>
      </x:c>
      <x:c r="E5" s="155"/>
    </x:row>
    <x:row r="6" s="112" customFormat="1" ht="30" customHeight="1">
      <x:c r="A6" s="151" t="inlineStr">
        <x:is>
          <x:t xml:space="preserve">Số lần gọi mô hình / việc</x:t>
        </x:is>
      </x:c>
      <x:c r="B6" s="156" t="n">
        <x:v>2</x:v>
      </x:c>
      <x:c r="C6" s="153" t="inlineStr">
        <x:is>
          <x:t xml:space="preserve">lần</x:t>
        </x:is>
      </x:c>
      <x:c r="D6" s="154" t="str">
        <x:v>Nguồn số: bảng Chi phí mỗi việc. Đã tính 2 lần gọi mô hình cho mỗi bài.</x:v>
      </x:c>
      <x:c r="E6" s="155"/>
    </x:row>
    <x:row r="7" s="112" customFormat="1" ht="43.5" customHeight="1">
      <x:c r="A7" s="151" t="inlineStr">
        <x:is>
          <x:t xml:space="preserve">Token đầu vào / lần gọi</x:t>
        </x:is>
      </x:c>
      <x:c r="B7" s="156" t="n">
        <x:v>3000</x:v>
      </x:c>
      <x:c r="C7" s="153" t="inlineStr">
        <x:is>
          <x:t xml:space="preserve">token</x:t>
        </x:is>
      </x:c>
      <x:c r="D7" s="154" t="str">
        <x:v>Nguồn số: bảng Chi phí mỗi việc. Đã nhập 3.000 token đầu vào mỗi lần gọi.</x:v>
      </x:c>
      <x:c r="E7" s="155"/>
    </x:row>
    <x:row r="8" s="112" customFormat="1" ht="30" customHeight="1">
      <x:c r="A8" s="151" t="inlineStr">
        <x:is>
          <x:t xml:space="preserve">Token đầu ra / lần gọi</x:t>
        </x:is>
      </x:c>
      <x:c r="B8" s="156" t="n">
        <x:v>800</x:v>
      </x:c>
      <x:c r="C8" s="153" t="inlineStr">
        <x:is>
          <x:t xml:space="preserve">token</x:t>
        </x:is>
      </x:c>
      <x:c r="D8" s="154" t="str">
        <x:v>Nguồn số: bảng Chi phí mỗi việc. Đã nhập 800 token đầu ra mỗi lần gọi.</x:v>
      </x:c>
      <x:c r="E8" s="155"/>
    </x:row>
    <x:row r="9" s="112" customFormat="1" ht="43.5" customHeight="1">
      <x:c r="A9" s="151" t="inlineStr">
        <x:is>
          <x:t xml:space="preserve">Giá token đầu vào</x:t>
        </x:is>
      </x:c>
      <x:c r="B9" s="156" t="n">
        <x:v>2</x:v>
      </x:c>
      <x:c r="C9" s="153" t="inlineStr">
        <x:is>
          <x:t xml:space="preserve">USD / 1 triệu token</x:t>
        </x:is>
      </x:c>
      <x:c r="D9" s="154" t="str">
        <x:v>Nguồn số: bảng Chi phí mỗi việc, đối chiếu sheet 9. Claude Sonnet 5.5: 2 USD/triệu token vào.</x:v>
      </x:c>
      <x:c r="E9" s="155"/>
    </x:row>
    <x:row r="10" s="112" customFormat="1" ht="30" customHeight="1">
      <x:c r="A10" s="151" t="inlineStr">
        <x:is>
          <x:t xml:space="preserve">Giá token đầu ra</x:t>
        </x:is>
      </x:c>
      <x:c r="B10" s="156" t="n">
        <x:v>10</x:v>
      </x:c>
      <x:c r="C10" s="153" t="inlineStr">
        <x:is>
          <x:t xml:space="preserve">USD / 1 triệu token</x:t>
        </x:is>
      </x:c>
      <x:c r="D10" s="154" t="str">
        <x:v>Nguồn số: bảng Chi phí mỗi việc, đối chiếu sheet 9. Claude Sonnet 5.5: 10 USD/triệu token ra.</x:v>
      </x:c>
      <x:c r="E10" s="155"/>
    </x:row>
    <x:row r="11" s="112" customFormat="1" ht="30" customHeight="1">
      <x:c r="A11" s="151" t="inlineStr">
        <x:is>
          <x:t xml:space="preserve">Tỷ giá</x:t>
        </x:is>
      </x:c>
      <x:c r="B11" s="156" t="n">
        <x:v>26170</x:v>
      </x:c>
      <x:c r="C11" s="153" t="inlineStr">
        <x:is>
          <x:t xml:space="preserve">VND / USD</x:t>
        </x:is>
      </x:c>
      <x:c r="D11" s="154" t="str">
        <x:v>Nguồn số: bảng Chi phí mỗi việc, đối chiếu sheet 9. Đã nhập 26.170 đồng/USD.</x:v>
      </x:c>
      <x:c r="E11" s="155"/>
    </x:row>
    <x:row r="12" s="112" customFormat="1" ht="30" customHeight="1">
      <x:c r="A12" s="151" t="inlineStr">
        <x:is>
          <x:t xml:space="preserve">Tỷ lệ gọi lại khi lỗi</x:t>
        </x:is>
      </x:c>
      <x:c r="B12" s="157" t="n">
        <x:v>0.05</x:v>
      </x:c>
      <x:c r="C12" s="153" t="inlineStr">
        <x:is>
          <x:t xml:space="preserve">%</x:t>
        </x:is>
      </x:c>
      <x:c r="D12" s="154" t="str">
        <x:v>Nguồn số: bảng Chi phí mỗi việc. Đã tính 5% lượt gọi lại.</x:v>
      </x:c>
      <x:c r="E12" s="155"/>
    </x:row>
    <x:row r="13" s="112" customFormat="1" ht="43.5" customHeight="1">
      <x:c r="A13" s="151" t="inlineStr">
        <x:is>
          <x:t xml:space="preserve">Hạ tầng / việc (máy chủ, cơ sở dữ liệu, gửi tin)</x:t>
        </x:is>
      </x:c>
      <x:c r="B13" s="156" t="n">
        <x:v>80</x:v>
      </x:c>
      <x:c r="C13" s="153" t="inlineStr">
        <x:is>
          <x:t xml:space="preserve">VND</x:t>
        </x:is>
      </x:c>
      <x:c r="D13" s="154" t="str">
        <x:v>Nguồn số: bảng Chi phí mỗi việc. Đã tính hạ tầng 80 đồng/bài.</x:v>
      </x:c>
      <x:c r="E13" s="155"/>
    </x:row>
    <x:row r="14" s="112" customFormat="1" ht="30" customHeight="1">
      <x:c r="A14" s="151" t="inlineStr">
        <x:is>
          <x:t xml:space="preserve">Tỷ lệ việc cần người kiểm tra</x:t>
        </x:is>
      </x:c>
      <x:c r="B14" s="157" t="n">
        <x:v>0.1</x:v>
      </x:c>
      <x:c r="C14" s="153" t="inlineStr">
        <x:is>
          <x:t xml:space="preserve">%</x:t>
        </x:is>
      </x:c>
      <x:c r="D14" s="154" t="str">
        <x:v>Nguồn số: bảng Chi phí mỗi việc. Đã tính giáo viên kiểm tra 10% bài sát ngưỡng hoặc bị khiếu nại.</x:v>
      </x:c>
      <x:c r="E14" s="155"/>
    </x:row>
    <x:row r="15" s="112" customFormat="1" ht="30" customHeight="1">
      <x:c r="A15" s="151" t="inlineStr">
        <x:is>
          <x:t xml:space="preserve">Số phút người kiểm tra / việc</x:t>
        </x:is>
      </x:c>
      <x:c r="B15" s="156" t="n">
        <x:v>3</x:v>
      </x:c>
      <x:c r="C15" s="153" t="inlineStr">
        <x:is>
          <x:t xml:space="preserve">phút</x:t>
        </x:is>
      </x:c>
      <x:c r="D15" s="154" t="str">
        <x:v>Nguồn số: bảng Chi phí mỗi việc. Đã tính 3 phút kiểm tra/bài.</x:v>
      </x:c>
      <x:c r="E15" s="155"/>
    </x:row>
    <x:row r="16" s="112" customFormat="1" ht="30" customHeight="1">
      <x:c r="A16" s="151" t="inlineStr">
        <x:is>
          <x:t xml:space="preserve">Chi phí nhân sự kiểm tra</x:t>
        </x:is>
      </x:c>
      <x:c r="B16" s="156" t="n">
        <x:v>120000</x:v>
      </x:c>
      <x:c r="C16" s="153" t="inlineStr">
        <x:is>
          <x:t xml:space="preserve">VND / giờ</x:t>
        </x:is>
      </x:c>
      <x:c r="D16" s="154" t="str">
        <x:v>Nguồn số: bảng Chi phí mỗi việc. Đã tính 120.000 đồng/giờ giáo viên.</x:v>
      </x:c>
      <x:c r="E16" s="155"/>
    </x:row>
    <x:row r="17" s="112" customFormat="1" ht="30" customHeight="1">
      <x:c r="A17" s="151" t="inlineStr">
        <x:is>
          <x:t xml:space="preserve">Đánh giá chất lượng, giám sát, gán nhãn lại / việc</x:t>
        </x:is>
      </x:c>
      <x:c r="B17" s="156" t="n">
        <x:v>150</x:v>
      </x:c>
      <x:c r="C17" s="153" t="inlineStr">
        <x:is>
          <x:t xml:space="preserve">VND</x:t>
        </x:is>
      </x:c>
      <x:c r="D17" s="154" t="str">
        <x:v>Nguồn số: bảng Chi phí mỗi việc. Đã tính 150 đồng/bài cho đánh giá chất lượng.</x:v>
      </x:c>
      <x:c r="E17" s="155"/>
    </x:row>
    <x:row r="18" s="112" customFormat="1" ht="30" customHeight="1">
      <x:c r="A18" s="151" t="inlineStr">
        <x:is>
          <x:t xml:space="preserve">Chi phí khác / việc (tuân thủ, lưu nhật ký…)</x:t>
        </x:is>
      </x:c>
      <x:c r="B18" s="156" t="n">
        <x:v>20</x:v>
      </x:c>
      <x:c r="C18" s="153" t="inlineStr">
        <x:is>
          <x:t xml:space="preserve">VND</x:t>
        </x:is>
      </x:c>
      <x:c r="D18" s="154" t="str">
        <x:v>Nguồn số: bảng Chi phí mỗi việc. Đã tính 20 đồng/bài chi phí khác.</x:v>
      </x:c>
      <x:c r="E18" s="155"/>
    </x:row>
    <x:row r="20" s="112" customFormat="1" ht="15" customHeight="1">
      <x:c r="A20" s="116" t="inlineStr">
        <x:is>
          <x:t xml:space="preserve">KẾT QUẢ</x:t>
        </x:is>
      </x:c>
    </x:row>
    <x:row r="21" s="112" customFormat="1" ht="15" customHeight="1">
      <x:c r="A21" s="158" t="inlineStr">
        <x:is>
          <x:t xml:space="preserve">Chi phí gọi AI / việc (đã tính gọi lại)</x:t>
        </x:is>
      </x:c>
      <x:c r="B21" s="159" t="n">
        <x:f>IFERROR(B6*(B7*B9+B8*B10)/1000000*B11*(1+B12),0)</x:f>
        <x:v>769.398</x:v>
      </x:c>
    </x:row>
    <x:row r="22" s="112" customFormat="1" ht="15" customHeight="1">
      <x:c r="A22" s="158" t="inlineStr">
        <x:is>
          <x:t xml:space="preserve">Chi phí người kiểm tra / việc</x:t>
        </x:is>
      </x:c>
      <x:c r="B22" s="159" t="n">
        <x:f>IFERROR(B14*B15/60*B16,0)</x:f>
        <x:v>600.0000000000001</x:v>
      </x:c>
    </x:row>
    <x:row r="23" s="112" customFormat="1" ht="15" customHeight="1">
      <x:c r="A23" s="158" t="inlineStr">
        <x:is>
          <x:t xml:space="preserve">Hạ tầng + đánh giá + khác / việc</x:t>
        </x:is>
      </x:c>
      <x:c r="B23" s="159" t="n">
        <x:f>B13+B17+B18</x:f>
        <x:v>250</x:v>
      </x:c>
    </x:row>
    <x:row r="24" s="112" customFormat="1" ht="15.75" customHeight="1">
      <x:c r="A24" s="158" t="inlineStr">
        <x:is>
          <x:t xml:space="preserve">TỔNG CHI PHÍ MỖI VIỆC</x:t>
        </x:is>
      </x:c>
      <x:c r="B24" s="160" t="n">
        <x:f>B21+B22+B23</x:f>
        <x:v>1619.3980000000001</x:v>
      </x:c>
      <x:c r="E24" s="124" t="str">
        <x:v>Đã kiểm tra tổng chi phí và các thành phần.</x:v>
      </x:c>
    </x:row>
    <x:row r="25" s="112" customFormat="1" ht="15" customHeight="1">
      <x:c r="A25" s="158" t="inlineStr">
        <x:is>
          <x:t xml:space="preserve">Phần chìm so với chi phí gọi AI</x:t>
        </x:is>
      </x:c>
      <x:c r="B25" s="161" t="n">
        <x:f>IFERROR((B24-B21)/B21,0)</x:f>
        <x:v>1.1047598252139985</x:v>
      </x:c>
      <x:c r="C25" s="162" t="str">
        <x:v>Đã kiểm tra phần chi phí ngoài AI.</x:v>
      </x:c>
    </x:row>
    <x:row r="26" s="112" customFormat="1" ht="15" customHeight="1">
      <x:c r="A26" s="158" t="inlineStr">
        <x:is>
          <x:t xml:space="preserve">Giá sàn mỗi việc = 3 × chi phí mỗi việc</x:t>
        </x:is>
      </x:c>
      <x:c r="B26" s="159" t="n">
        <x:f>3*B24</x:f>
        <x:v>4858.194</x:v>
      </x:c>
      <x:c r="C26" s="162" t="str">
        <x:v>Đã dùng làm giá sàn tham khảo.</x:v>
      </x:c>
    </x:row>
    <x:row r="27" s="112" customFormat="1" ht="15" customHeight="1">
      <x:c r="A27" s="158" t="inlineStr">
        <x:is>
          <x:t xml:space="preserve">Giá tối thiểu để biên lợi nhuận gộp đạt 60%</x:t>
        </x:is>
      </x:c>
      <x:c r="B27" s="159" t="n">
        <x:f>B24/(1-0.6)</x:f>
        <x:v>4048.4950000000003</x:v>
      </x:c>
      <x:c r="C27" s="162" t="str">
        <x:v>Đã dùng để đối chiếu biên bình quân.</x:v>
      </x:c>
    </x:row>
  </x:sheetData>
  <x:mergeCells>
    <x:mergeCell ref="A3:E3"/>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baseColWidth="8" defaultColWidth="8.6796875" defaultRowHeight="15"/>
  <x:cols>
    <x:col min="1" max="1" width="44" style="111" customWidth="1"/>
    <x:col min="2" max="3" width="30" style="111" customWidth="1"/>
    <x:col min="4" max="4" width="22" style="111" customWidth="1"/>
    <x:col min="5" max="5" width="20" style="111" customWidth="1"/>
    <x:col min="6" max="6" width="18" style="111" customWidth="1"/>
    <x:col min="7" max="7" width="22" style="111" customWidth="1"/>
    <x:col min="8" max="8" width="20" style="111" customWidth="1"/>
    <x:col min="9" max="9" width="46" style="111" customWidth="1"/>
  </x:cols>
  <x:sheetData>
    <x:row r="1" s="112" customFormat="1" ht="17.25" customHeight="1">
      <x:c r="A1" s="113" t="str">
        <x:v>2 · Định giá — ChấmNhanh đã hoàn thành</x:v>
      </x:c>
    </x:row>
    <x:row r="2" s="112" customFormat="1" ht="15" customHeight="1">
      <x:c r="A2" s="120" t="str">
        <x:v>Đã chọn gói kết hợp, nhập hai nhóm khách và kiểm tra giá theo chi phí phục vụ.</x:v>
      </x:c>
    </x:row>
    <x:row r="4" s="112" customFormat="1" ht="15" customHeight="1">
      <x:c r="A4" s="125" t="inlineStr">
        <x:is>
          <x:t xml:space="preserve">Mục</x:t>
        </x:is>
      </x:c>
      <x:c r="B4" s="125" t="inlineStr">
        <x:is>
          <x:t xml:space="preserve">Giá trị</x:t>
        </x:is>
      </x:c>
      <x:c r="C4" s="125" t="inlineStr">
        <x:is>
          <x:t xml:space="preserve">Ghi chú</x:t>
        </x:is>
      </x:c>
      <x:c r="D4" s="125" t="inlineStr">
        <x:is>
          <x:t xml:space="preserve">Nguồn / lý do</x:t>
        </x:is>
      </x:c>
    </x:row>
    <x:row r="5" s="112" customFormat="1" ht="48" customHeight="1">
      <x:c r="A5" s="122" t="inlineStr">
        <x:is>
          <x:t xml:space="preserve">Khách trả tiền từ ngân sách nào?</x:t>
        </x:is>
      </x:c>
      <x:c r="B5" s="163" t="str">
        <x:v>Nhân sự: giờ chấm bài của giáo viên</x:v>
      </x:c>
      <x:c r="C5" s="115"/>
      <x:c r="D5" s="164" t="str">
        <x:v>Nguồn số: bảng Định giá. Đã xác định ngân sách chi trả là giờ chấm bài của giáo viên.</x:v>
      </x:c>
    </x:row>
    <x:row r="6" s="112" customFormat="1" ht="63" customHeight="1">
      <x:c r="A6" s="122" t="inlineStr">
        <x:is>
          <x:t xml:space="preserve">Cách tính tiền đã chọn</x:t>
        </x:is>
      </x:c>
      <x:c r="B6" s="163" t="str">
        <x:v>Kết hợp: phí cố định + phí vượt hạn mức</x:v>
      </x:c>
      <x:c r="C6" s="115"/>
      <x:c r="D6" s="164" t="str">
        <x:v>Nguồn số: bảng Định giá. Đã chọn phí cố định cộng phí vượt hạn mức.</x:v>
      </x:c>
    </x:row>
    <x:row r="7" s="112" customFormat="1" ht="48" customHeight="1">
      <x:c r="A7" s="122" t="inlineStr">
        <x:is>
          <x:t xml:space="preserve">Lý do chọn (hai câu hỏi: đo được kết quả? AI tự làm trọn?)</x:t>
        </x:is>
      </x:c>
      <x:c r="B7" s="163" t="str">
        <x:v>Số bài được đo trực tiếp; AI chấm và viết nhận xét trọn một bài, còn 10% bài cần giáo viên kiểm tra.</x:v>
      </x:c>
      <x:c r="D7" s="164" t="str">
        <x:v>Đã chọn đơn vị bài viết: đếm được số bài; 10% bài cần giáo viên kiểm tra.</x:v>
      </x:c>
    </x:row>
    <x:row r="8" s="112" customFormat="1" ht="48" customHeight="1">
      <x:c r="A8" s="122" t="inlineStr">
        <x:is>
          <x:t xml:space="preserve">Neo giá so với cái gì?</x:t>
        </x:is>
      </x:c>
      <x:c r="B8" s="163" t="str">
        <x:v>Chi phí giáo viên chấm bài của một trung tâm: 25.000.000 đồng/tháng</x:v>
      </x:c>
      <x:c r="C8" s="115"/>
      <x:c r="D8" s="164" t="str">
        <x:v>Nguồn số: bảng Định giá. Đã neo theo chi phí giáo viên 25.000.000 đồng/tháng.</x:v>
      </x:c>
    </x:row>
    <x:row r="9" s="112" customFormat="1" ht="15" customHeight="1">
      <x:c r="A9" s="158" t="inlineStr">
        <x:is>
          <x:t xml:space="preserve">Phí cố định / khách / tháng</x:t>
        </x:is>
      </x:c>
      <x:c r="B9" s="165" t="n">
        <x:v>3900000</x:v>
      </x:c>
      <x:c r="C9" s="111" t="inlineStr">
        <x:is>
          <x:t xml:space="preserve">VND</x:t>
        </x:is>
      </x:c>
      <x:c r="D9" s="164" t="n"/>
    </x:row>
    <x:row r="10" s="112" customFormat="1" ht="15" customHeight="1">
      <x:c r="A10" s="158" t="inlineStr">
        <x:is>
          <x:t xml:space="preserve">Số việc đã gồm trong phí cố định</x:t>
        </x:is>
      </x:c>
      <x:c r="B10" s="165" t="n">
        <x:v>600</x:v>
      </x:c>
      <x:c r="C10" s="111" t="inlineStr">
        <x:is>
          <x:t xml:space="preserve">việc / tháng</x:t>
        </x:is>
      </x:c>
      <x:c r="D10" s="164" t="n"/>
    </x:row>
    <x:row r="11" s="112" customFormat="1" ht="15" customHeight="1">
      <x:c r="A11" s="158" t="inlineStr">
        <x:is>
          <x:t xml:space="preserve">Giá mỗi việc vượt hạn mức</x:t>
        </x:is>
      </x:c>
      <x:c r="B11" s="165" t="n">
        <x:v>5500</x:v>
      </x:c>
      <x:c r="C11" s="111" t="inlineStr">
        <x:is>
          <x:t xml:space="preserve">VND / việc</x:t>
        </x:is>
      </x:c>
      <x:c r="D11" s="164" t="n"/>
    </x:row>
    <x:row r="12" s="112" customFormat="1" ht="31.5" customHeight="1">
      <x:c r="A12" s="122" t="inlineStr">
        <x:is>
          <x:t xml:space="preserve">Giá gói không giới hạn (để so sánh; thường = phí cố định dòng 9)</x:t>
        </x:is>
      </x:c>
      <x:c r="B12" s="165" t="n">
        <x:v>3900000</x:v>
      </x:c>
      <x:c r="C12" s="111" t="inlineStr">
        <x:is>
          <x:t xml:space="preserve">VND / tháng</x:t>
        </x:is>
      </x:c>
      <x:c r="D12" s="164" t="n"/>
    </x:row>
    <x:row r="14" s="112" customFormat="1" ht="46.5" customHeight="1">
      <x:c r="A14" s="125" t="inlineStr">
        <x:is>
          <x:t xml:space="preserve">Nhóm khách</x:t>
        </x:is>
      </x:c>
      <x:c r="B14" s="166" t="inlineStr">
        <x:is>
          <x:t xml:space="preserve">Tỷ trọng số khách (2 dòng cộng = 100%)</x:t>
        </x:is>
      </x:c>
      <x:c r="C14" s="166" t="inlineStr">
        <x:is>
          <x:t xml:space="preserve">Số việc / 1 khách / tháng</x:t>
        </x:is>
      </x:c>
      <x:c r="D14" s="125" t="inlineStr">
        <x:is>
          <x:t xml:space="preserve">Doanh thu / khách (gói kết hợp)</x:t>
        </x:is>
      </x:c>
      <x:c r="E14" s="166" t="inlineStr">
        <x:is>
          <x:t xml:space="preserve">Chi phí AI / khách (= số việc × chi phí mỗi việc)</x:t>
        </x:is>
      </x:c>
      <x:c r="F14" s="125" t="inlineStr">
        <x:is>
          <x:t xml:space="preserve">Biên lợi nhuận gộp (kết hợp)</x:t>
        </x:is>
      </x:c>
      <x:c r="G14" s="125" t="inlineStr">
        <x:is>
          <x:t xml:space="preserve">Doanh thu / khách (không giới hạn)</x:t>
        </x:is>
      </x:c>
      <x:c r="H14" s="125" t="inlineStr">
        <x:is>
          <x:t xml:space="preserve">Biên lợi nhuận gộp (không giới hạn)</x:t>
        </x:is>
      </x:c>
      <x:c r="I14" s="125" t="inlineStr">
        <x:is>
          <x:t xml:space="preserve">Nguồn / lý do</x:t>
        </x:is>
      </x:c>
    </x:row>
    <x:row r="15" s="112" customFormat="1" ht="15" customHeight="1">
      <x:c r="A15" s="158" t="inlineStr">
        <x:is>
          <x:t xml:space="preserve">Khách thường</x:t>
        </x:is>
      </x:c>
      <x:c r="B15" s="167" t="n">
        <x:v>0.75</x:v>
      </x:c>
      <x:c r="C15" s="168" t="n">
        <x:v>500</x:v>
      </x:c>
      <x:c r="D15" s="159" t="n">
        <x:f>B9+MAX(0,C15-B10)*B11</x:f>
        <x:v>3900000</x:v>
      </x:c>
      <x:c r="E15" s="159" t="n">
        <x:f>C15*'1_Chi phí mỗi việc'!B24</x:f>
        <x:v>809699.0000000001</x:v>
      </x:c>
      <x:c r="F15" s="161" t="n">
        <x:f>IFERROR((D15-E15)/D15,0)</x:f>
        <x:v>0.7923848717948718</x:v>
      </x:c>
      <x:c r="G15" s="159" t="n">
        <x:f>B12</x:f>
        <x:v>3900000</x:v>
      </x:c>
      <x:c r="H15" s="161" t="n">
        <x:f>IFERROR((G15-E15)/G15,0)</x:f>
        <x:v>0.7923848717948718</x:v>
      </x:c>
      <x:c r="I15" s="164" t="str">
        <x:v>Nguồn số: bảng Định giá. Đã dùng 75% trung tâm nhỏ, 500 bài/tháng.</x:v>
      </x:c>
    </x:row>
    <x:row r="16" s="112" customFormat="1" ht="15" customHeight="1">
      <x:c r="A16" s="158" t="inlineStr">
        <x:is>
          <x:t xml:space="preserve">Khách dùng nhiều</x:t>
        </x:is>
      </x:c>
      <x:c r="B16" s="167" t="n">
        <x:v>0.25</x:v>
      </x:c>
      <x:c r="C16" s="168" t="n">
        <x:v>2500</x:v>
      </x:c>
      <x:c r="D16" s="159" t="n">
        <x:f>B9+MAX(0,C16-B10)*B11</x:f>
        <x:v>14350000</x:v>
      </x:c>
      <x:c r="E16" s="159" t="n">
        <x:f>C16*'1_Chi phí mỗi việc'!B24</x:f>
        <x:v>4048495.0000000005</x:v>
      </x:c>
      <x:c r="F16" s="161" t="n">
        <x:f>IFERROR((D16-E16)/D16,0)</x:f>
        <x:v>0.717874912891986</x:v>
      </x:c>
      <x:c r="G16" s="159" t="n">
        <x:f>B12</x:f>
        <x:v>3900000</x:v>
      </x:c>
      <x:c r="H16" s="161" t="n">
        <x:f>IFERROR((G16-E16)/G16,0)</x:f>
        <x:v>-0.03807564102564114</x:v>
      </x:c>
      <x:c r="I16" s="164" t="str">
        <x:v>Nguồn số: bảng Định giá. Đã dùng 25% trung tâm lớn, 2.500 bài/tháng.</x:v>
      </x:c>
    </x:row>
    <x:row r="17" s="112" customFormat="1" ht="15" customHeight="1">
      <x:c r="A17" s="116" t="inlineStr">
        <x:is>
          <x:t xml:space="preserve">BÌNH QUÂN (theo tỷ trọng)</x:t>
        </x:is>
      </x:c>
      <x:c r="B17" s="161" t="n">
        <x:f>B15+B16</x:f>
        <x:v>1</x:v>
      </x:c>
      <x:c r="C17" s="169" t="n">
        <x:f>SUMPRODUCT(B15:B16,C15:C16)</x:f>
        <x:v>1000</x:v>
      </x:c>
      <x:c r="D17" s="160" t="n">
        <x:f>SUMPRODUCT($B15:$B16,D15:D16)</x:f>
        <x:v>6512500</x:v>
      </x:c>
      <x:c r="E17" s="160" t="n">
        <x:f>SUMPRODUCT($B15:$B16,E15:E16)</x:f>
        <x:v>1619398.0000000002</x:v>
      </x:c>
      <x:c r="F17" s="170" t="n">
        <x:f>IFERROR((D17-E17)/D17,0)</x:f>
        <x:v>0.7513400383877159</x:v>
      </x:c>
      <x:c r="G17" s="160" t="n">
        <x:f>SUMPRODUCT($B15:$B16,G15:G16)</x:f>
        <x:v>3900000</x:v>
      </x:c>
      <x:c r="H17" s="170" t="n">
        <x:f>IFERROR((G17-E17)/G17,0)</x:f>
        <x:v>0.5847697435897435</x:v>
      </x:c>
    </x:row>
    <x:row r="18" s="112" customFormat="1" ht="15" customHeight="1">
      <x:c r="A18" s="111" t="inlineStr">
        <x:is>
          <x:t xml:space="preserve">Kiểm tra: tổng tỷ trọng phải = 100%</x:t>
        </x:is>
      </x:c>
      <x:c r="B18" s="171" t="str">
        <x:f>IF(B17=0,"Chưa điền",IF(ABS(B17-1)&lt;0.001,"Đạt","Sai: tổng khác 100%"))</x:f>
        <x:v>Đạt</x:v>
      </x:c>
    </x:row>
    <x:row r="19" s="112" customFormat="1" ht="15" customHeight="1">
      <x:c r="A19" s="111" t="inlineStr">
        <x:is>
          <x:t xml:space="preserve">Kiểm tra: giá mỗi việc vượt hạn mức ≥ giá sàn mỗi việc (trang 1, dòng 26)?</x:t>
        </x:is>
      </x:c>
      <x:c r="B19" s="171" t="str">
        <x:f>IF(B11=0,"Chưa điền",IF(B11&gt;='1_Chi phí mỗi việc'!B26,"Đạt","Thấp hơn giá sàn"))</x:f>
        <x:v>Đạt</x:v>
      </x:c>
    </x:row>
    <x:row r="21" s="112" customFormat="1" ht="15" customHeight="1">
      <x:c r="A21" s="111" t="inlineStr">
        <x:is>
          <x:t xml:space="preserve">Tỷ trọng doanh thu đến từ khách dùng nhiều</x:t>
        </x:is>
      </x:c>
      <x:c r="B21" s="170" t="n">
        <x:f>IFERROR(B16*D16/D17,0)</x:f>
        <x:v>0.5508637236084453</x:v>
      </x:c>
    </x:row>
    <x:row r="22" s="112" customFormat="1" ht="15" customHeight="1">
      <x:c r="A22" s="111" t="inlineStr">
        <x:is>
          <x:t xml:space="preserve">Trong đó: phí vượt hạn mức</x:t>
        </x:is>
      </x:c>
      <x:c r="B22" s="170" t="n">
        <x:f>IFERROR(B16*MAX(0,C16-B10)*B11/D17,0)</x:f>
        <x:v>0.40115163147792704</x:v>
      </x:c>
    </x:row>
    <x:row r="23" s="112" customFormat="1" ht="15" customHeight="1">
      <x:c r="A23" s="111" t="inlineStr">
        <x:is>
          <x:t xml:space="preserve">Cảnh báo phụ thuộc</x:t>
        </x:is>
      </x:c>
      <x:c r="B23" s="171" t="str">
        <x:f>IF(D17=0,"Chưa điền",IF(B21&gt;0.5,"Trên 50% doanh thu đến từ khách dùng nhiều: xem tình huống đặc biệt ở trang 5","Đạt"))</x:f>
        <x:v>Trên 50% doanh thu đến từ khách dùng nhiều: xem tình huống đặc biệt ở trang 5</x:v>
      </x:c>
    </x:row>
    <x:row r="25" s="112" customFormat="1" ht="15" customHeight="1">
      <x:c r="A25" s="116" t="str">
        <x:v>KẾT QUẢ PHÉP THỬ GIÁ</x:v>
      </x:c>
    </x:row>
    <x:row r="26" s="112" customFormat="1" ht="15" customHeight="1">
      <x:c r="A26" s="132" t="inlineStr">
        <x:is>
          <x:t xml:space="preserve">Lương 1 tháng của người được thay</x:t>
        </x:is>
      </x:c>
      <x:c r="B26" s="133" t="n">
        <x:v>25000000</x:v>
      </x:c>
      <x:c r="C26" s="132" t="inlineStr">
        <x:is>
          <x:t xml:space="preserve">VND / tháng</x:t>
        </x:is>
      </x:c>
      <x:c r="D26" s="149" t="str">
        <x:v>Nguồn số: bảng Định giá. Chi phí giáo viên chấm bài 25.000.000 đồng/tháng.</x:v>
      </x:c>
    </x:row>
    <x:row r="27" s="112" customFormat="1" ht="15" customHeight="1">
      <x:c r="A27" s="132" t="inlineStr">
        <x:is>
          <x:t xml:space="preserve">Tỷ lệ chia doanh thu cho đối tác / kênh bán</x:t>
        </x:is>
      </x:c>
      <x:c r="B27" s="172" t="n">
        <x:v>0.2</x:v>
      </x:c>
      <x:c r="C27" s="132" t="inlineStr">
        <x:is>
          <x:t xml:space="preserve">% doanh thu</x:t>
        </x:is>
      </x:c>
      <x:c r="D27" s="149" t="str">
        <x:v>Nguồn số: bảng Định giá. Đã tính phần chia đối tác 20% doanh thu.</x:v>
      </x:c>
    </x:row>
    <x:row r="28" s="112" customFormat="1" ht="45" customHeight="1">
      <x:c r="A28" s="125" t="inlineStr">
        <x:is>
          <x:t xml:space="preserve">Nhóm khách</x:t>
        </x:is>
      </x:c>
      <x:c r="B28" s="125" t="inlineStr">
        <x:is>
          <x:t xml:space="preserve">Trả mỗi tháng</x:t>
        </x:is>
      </x:c>
      <x:c r="C28" s="125" t="inlineStr">
        <x:is>
          <x:t xml:space="preserve">So với lương người được thay</x:t>
        </x:is>
      </x:c>
      <x:c r="D28" s="125" t="inlineStr">
        <x:is>
          <x:t xml:space="preserve">Quy tắc neo 50–70% lương (Ngày 22)</x:t>
        </x:is>
      </x:c>
      <x:c r="E28" s="125" t="inlineStr">
        <x:is>
          <x:t xml:space="preserve">Tiền AI ÷ doanh thu (chỉ số Ngày 23)</x:t>
        </x:is>
      </x:c>
      <x:c r="F28" s="125" t="inlineStr">
        <x:is>
          <x:t xml:space="preserve">Mức theo Ngày 23</x:t>
        </x:is>
      </x:c>
    </x:row>
    <x:row r="29" s="112" customFormat="1" ht="30" customHeight="1">
      <x:c r="A29" s="132" t="inlineStr">
        <x:is>
          <x:t xml:space="preserve">Khách thường</x:t>
        </x:is>
      </x:c>
      <x:c r="B29" s="134" t="n">
        <x:f>D15</x:f>
        <x:v>3900000</x:v>
      </x:c>
      <x:c r="C29" s="138" t="n">
        <x:f>IFERROR(B29/$B$26,"")</x:f>
        <x:v>0.156</x:v>
      </x:c>
      <x:c r="D29" s="173" t="str">
        <x:f>IF(C29="","",IF(C29&lt;0.5,"Dưới 50%: còn dư địa",IF(C29&lt;=0.7,"Trong vùng 50–70%","Trên 70%: khách thà thuê người? Xem dòng 34")))</x:f>
        <x:v>Dưới 50%: còn dư địa</x:v>
      </x:c>
      <x:c r="E29" s="174" t="n">
        <x:f>IFERROR(E15/B29,"")</x:f>
        <x:v>0.20761512820512823</x:v>
      </x:c>
      <x:c r="F29" s="137" t="str">
        <x:f>IF(E29="","",IF(E29&lt;0.3,"Ổn (dưới 0,3)",IF(E29&lt;=0.6,"Đáng lo (0,3–0,6)","Nguy (trên 0,6)")))</x:f>
        <x:v>Ổn (dưới 0,3)</x:v>
      </x:c>
    </x:row>
    <x:row r="30" s="112" customFormat="1" ht="30" customHeight="1">
      <x:c r="A30" s="132" t="inlineStr">
        <x:is>
          <x:t xml:space="preserve">Khách dùng nhiều, gói kết hợp</x:t>
        </x:is>
      </x:c>
      <x:c r="B30" s="134" t="n">
        <x:f>D16</x:f>
        <x:v>14350000</x:v>
      </x:c>
      <x:c r="C30" s="138" t="n">
        <x:f>IFERROR(B30/$B$26,"")</x:f>
        <x:v>0.574</x:v>
      </x:c>
      <x:c r="D30" s="173" t="str">
        <x:f>IF(C30="","",IF(C30&lt;0.5,"Dưới 50%: còn dư địa",IF(C30&lt;=0.7,"Trong vùng 50–70%","Trên 70%: khách thà thuê người? Xem dòng 34")))</x:f>
        <x:v>Trong vùng 50–70%</x:v>
      </x:c>
      <x:c r="E30" s="174" t="n">
        <x:f>IFERROR(E16/B30,"")</x:f>
        <x:v>0.282125087108014</x:v>
      </x:c>
      <x:c r="F30" s="137" t="str">
        <x:f>IF(E30="","",IF(E30&lt;0.3,"Ổn (dưới 0,3)",IF(E30&lt;=0.6,"Đáng lo (0,3–0,6)","Nguy (trên 0,6)")))</x:f>
        <x:v>Ổn (dưới 0,3)</x:v>
      </x:c>
    </x:row>
    <x:row r="31" s="112" customFormat="1" ht="30" customHeight="1">
      <x:c r="A31" s="132" t="inlineStr">
        <x:is>
          <x:t xml:space="preserve">Khách dùng nhiều, nếu bán gói không giới hạn</x:t>
        </x:is>
      </x:c>
      <x:c r="B31" s="134" t="n">
        <x:f>G16</x:f>
        <x:v>3900000</x:v>
      </x:c>
      <x:c r="C31" s="138" t="n">
        <x:f>IFERROR(B31/$B$26,"")</x:f>
        <x:v>0.156</x:v>
      </x:c>
      <x:c r="D31" s="173" t="str">
        <x:f>IF(C31="","",IF(C31&lt;0.5,"Dưới 50%: còn dư địa",IF(C31&lt;=0.7,"Trong vùng 50–70%","Trên 70%: khách thà thuê người? Xem dòng 34")))</x:f>
        <x:v>Dưới 50%: còn dư địa</x:v>
      </x:c>
      <x:c r="E31" s="174" t="n">
        <x:f>IFERROR(E16/B31,"")</x:f>
        <x:v>1.038075641025641</x:v>
      </x:c>
      <x:c r="F31" s="137" t="str">
        <x:f>IF(E31="","",IF(E31&lt;0.3,"Ổn (dưới 0,3)",IF(E31&lt;=0.6,"Đáng lo (0,3–0,6)","Nguy (trên 0,6)")))</x:f>
        <x:v>Nguy (trên 0,6)</x:v>
      </x:c>
    </x:row>
    <x:row r="32" s="112" customFormat="1" ht="15" customHeight="1">
      <x:c r="A32" s="135" t="inlineStr">
        <x:is>
          <x:t xml:space="preserve">Biên lợi nhuận gộp bình quân sau khi chia cho đối tác</x:t>
        </x:is>
      </x:c>
      <x:c r="B32" s="175" t="n">
        <x:f>IFERROR((D17*(1-B27)-E17)/D17,"")</x:f>
        <x:v>0.551340038387716</x:v>
      </x:c>
      <x:c r="C32" s="137" t="str">
        <x:f>IF(B32="","",IF(B32&gt;0.5,"Ổn",IF(B32&gt;=0.35,"Đáng lo","Nguy")))</x:f>
        <x:v>Ổn</x:v>
      </x:c>
      <x:c r="D32" s="162" t="inlineStr">
        <x:is>
          <x:t xml:space="preserve">Ngày 23: trên 50% ổn · 35–50% đáng lo · dưới 35% nguy</x:t>
        </x:is>
      </x:c>
    </x:row>
    <x:row r="33" s="112" customFormat="1" ht="30" customHeight="1">
      <x:c r="A33" s="124" t="str">
        <x:v>Đã so tỷ lệ chia đối tác 20% với mức tối đa tự tính 39,3% ở sheet 5.</x:v>
      </x:c>
    </x:row>
    <x:row r="34" s="112" customFormat="1" ht="30" customHeight="1">
      <x:c r="A34" s="124" t="str">
        <x:v>Đã giữ phí vượt 5.500 đồng/bài, cao hơn giá sàn 4.858 đồng/bài.</x:v>
      </x:c>
    </x:row>
    <x:row r="35" s="112" customFormat="1" ht="15" customHeight="1">
      <x:c r="A35" s="116"/>
    </x:row>
    <x:row r="36" s="112" customFormat="1" ht="15" customHeight="1">
      <x:c r="A36" s="132"/>
      <x:c r="B36" s="124"/>
    </x:row>
    <x:row r="37" s="112" customFormat="1" ht="30" customHeight="1">
      <x:c r="A37" s="132"/>
      <x:c r="B37" s="124"/>
    </x:row>
    <x:row r="38" s="112" customFormat="1" ht="15" customHeight="1">
      <x:c r="A38" s="132"/>
      <x:c r="B38" s="124"/>
    </x:row>
    <x:row r="39" s="112" customFormat="1" ht="15" customHeight="1">
      <x:c r="A39" s="132"/>
      <x:c r="B39" s="124"/>
    </x:row>
    <x:row r="40" s="112" customFormat="1" ht="15" customHeight="1">
      <x:c r="A40" s="132"/>
      <x:c r="B40" s="124"/>
    </x:row>
  </x:sheetData>
  <x:mergeCells>
    <x:mergeCell ref="A33:I33"/>
    <x:mergeCell ref="B39:I39"/>
    <x:mergeCell ref="B38:I38"/>
    <x:mergeCell ref="B36:I36"/>
    <x:mergeCell ref="B37:I37"/>
    <x:mergeCell ref="A34:I34"/>
    <x:mergeCell ref="B40:I40"/>
  </x:mergeCells>
  <x:dataValidations count="2">
    <x:dataValidation type="list" errorStyle="stop" operator="between" allowBlank="1" showDropDown="0" showInputMessage="0" showErrorMessage="0" sqref="B6">
      <x:formula1>"Theo người dùng,Theo lượt dùng,Theo kết quả,Kết hợp (phí cố định + vượt hạn mức)"</x:formula1>
      <x:formula2>0</x:formula2>
    </x:dataValidation>
    <x:dataValidation type="decimal" errorStyle="stop" operator="between" allowBlank="1" showDropDown="0" showInputMessage="0" showErrorMessage="1" error="Nhập tỷ lệ từ 0% đến 90%." sqref="B27">
      <x:formula1>0</x:formula1>
      <x:formula2>0.9</x:formula2>
    </x:dataValidation>
  </x:dataValidation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ColWidth="8.6796875" defaultRowHeight="15"/>
  <x:cols>
    <x:col min="1" max="1" width="44" style="111" customWidth="1"/>
    <x:col min="2" max="4" width="18" style="111" customWidth="1"/>
    <x:col min="5" max="5" width="14" style="111" customWidth="1"/>
    <x:col min="6" max="6" width="50" style="111" customWidth="1"/>
    <x:col min="7" max="7" width="56" style="111" customWidth="1"/>
  </x:cols>
  <x:sheetData>
    <x:row r="1" s="112" customFormat="1" ht="17.25" customHeight="1">
      <x:c r="A1" s="113" t="str">
        <x:v>3 · Giả định — ChấmNhanh đã hoàn thành</x:v>
      </x:c>
    </x:row>
    <x:row r="2" s="112" customFormat="1" ht="15" customHeight="1">
      <x:c r="A2" s="120" t="str">
        <x:v>Đã nhập cơ sở và giữ ba kịch bản để kiểm tra khả năng chịu rủi ro.</x:v>
      </x:c>
    </x:row>
    <x:row r="4" s="112" customFormat="1" ht="15" customHeight="1">
      <x:c r="A4" s="125" t="inlineStr">
        <x:is>
          <x:t xml:space="preserve">Giả định</x:t>
        </x:is>
      </x:c>
      <x:c r="B4" s="125" t="inlineStr">
        <x:is>
          <x:t xml:space="preserve">Lạc quan</x:t>
        </x:is>
      </x:c>
      <x:c r="C4" s="125" t="inlineStr">
        <x:is>
          <x:t xml:space="preserve">Cơ sở</x:t>
        </x:is>
      </x:c>
      <x:c r="D4" s="125" t="inlineStr">
        <x:is>
          <x:t xml:space="preserve">Xấu</x:t>
        </x:is>
      </x:c>
      <x:c r="E4" s="125" t="inlineStr">
        <x:is>
          <x:t xml:space="preserve">Đơn vị</x:t>
        </x:is>
      </x:c>
      <x:c r="F4" s="125" t="inlineStr">
        <x:is>
          <x:t xml:space="preserve">Nguồn / lý do</x:t>
        </x:is>
      </x:c>
      <x:c r="G4" s="125" t="str">
        <x:v>Ghi chú thực hiện</x:v>
      </x:c>
    </x:row>
    <x:row r="5" s="112" customFormat="1" ht="31.5" customHeight="1">
      <x:c r="A5" s="176" t="inlineStr">
        <x:is>
          <x:t xml:space="preserve">Hệ số doanh thu bình quân so với trang 2 (1 = giữ nguyên · 1,1 = cao hơn 10% · 0,8 = thấp hơn 20%)</x:t>
        </x:is>
      </x:c>
      <x:c r="B5" s="177" t="n">
        <x:v>1.1</x:v>
      </x:c>
      <x:c r="C5" s="177" t="n">
        <x:v>1</x:v>
      </x:c>
      <x:c r="D5" s="177" t="n">
        <x:v>0.8</x:v>
      </x:c>
      <x:c r="E5" s="153" t="inlineStr">
        <x:is>
          <x:t xml:space="preserve">×</x:t>
        </x:is>
      </x:c>
      <x:c r="F5" s="178" t="str">
        <x:v>Nguồn số: bảng Giả định. Đã giữ hệ số doanh thu cơ sở 1; lạc quan 1,1; xấu 0,8.</x:v>
      </x:c>
      <x:c r="G5" s="155"/>
    </x:row>
    <x:row r="6" s="112" customFormat="1" ht="31.5" customHeight="1">
      <x:c r="A6" s="176" t="inlineStr">
        <x:is>
          <x:t xml:space="preserve">Hệ số chi phí AI / khách so với trang 2 (gõ như dòng 5)</x:t>
        </x:is>
      </x:c>
      <x:c r="B6" s="177" t="n">
        <x:v>0.9</x:v>
      </x:c>
      <x:c r="C6" s="177" t="n">
        <x:v>1</x:v>
      </x:c>
      <x:c r="D6" s="177" t="n">
        <x:v>1.2</x:v>
      </x:c>
      <x:c r="E6" s="153" t="inlineStr">
        <x:is>
          <x:t xml:space="preserve">×</x:t>
        </x:is>
      </x:c>
      <x:c r="F6" s="178" t="str">
        <x:v>Nguồn số: bảng Giả định. Đã giữ hệ số giá vốn cơ sở 1; lạc quan 0,9; xấu 1,2.</x:v>
      </x:c>
      <x:c r="G6" s="155"/>
    </x:row>
    <x:row r="7" s="112" customFormat="1" ht="31.5" customHeight="1">
      <x:c r="A7" s="176" t="inlineStr">
        <x:is>
          <x:t xml:space="preserve">Khách mới tháng 1 (số khách ký được trong tháng đầu bán)</x:t>
        </x:is>
      </x:c>
      <x:c r="B7" s="179" t="n">
        <x:f>C7*1.3</x:f>
        <x:v>13</x:v>
      </x:c>
      <x:c r="C7" s="179" t="n">
        <x:v>10</x:v>
      </x:c>
      <x:c r="D7" s="179" t="n">
        <x:f>C7*0.5</x:f>
        <x:v>5</x:v>
      </x:c>
      <x:c r="E7" s="153" t="inlineStr">
        <x:is>
          <x:t xml:space="preserve">khách</x:t>
        </x:is>
      </x:c>
      <x:c r="F7" s="178" t="str">
        <x:v>Nguồn số: bảng Giả định. Đã nhập 10 trung tâm mới tháng đầu.</x:v>
      </x:c>
      <x:c r="G7" s="155"/>
    </x:row>
    <x:row r="8" s="112" customFormat="1" ht="46.5" customHeight="1">
      <x:c r="A8" s="176" t="inlineStr">
        <x:is>
          <x:t xml:space="preserve">Tăng trưởng khách mới / tháng (tính kép: 5%/tháng → tháng 24 gấp khoảng 3 lần tháng 1; 20%/tháng → gấp khoảng 66 lần)</x:t>
        </x:is>
      </x:c>
      <x:c r="B8" s="157" t="n">
        <x:f>C8*1.6</x:f>
        <x:v>0.08000000000000002</x:v>
      </x:c>
      <x:c r="C8" s="157" t="n">
        <x:v>0.05</x:v>
      </x:c>
      <x:c r="D8" s="157" t="n">
        <x:f>C8*0.4</x:f>
        <x:v>0.020000000000000004</x:v>
      </x:c>
      <x:c r="E8" s="153" t="inlineStr">
        <x:is>
          <x:t xml:space="preserve">%</x:t>
        </x:is>
      </x:c>
      <x:c r="F8" s="178" t="str">
        <x:v>Nguồn số: bảng Giả định. Đã nhập tăng trưởng khách mới 5%/tháng.</x:v>
      </x:c>
      <x:c r="G8" s="155"/>
    </x:row>
    <x:row r="9" s="112" customFormat="1" ht="43.5" customHeight="1">
      <x:c r="A9" s="176" t="inlineStr">
        <x:is>
          <x:t xml:space="preserve">Tỷ lệ rời bỏ / tháng</x:t>
        </x:is>
      </x:c>
      <x:c r="B9" s="157" t="n">
        <x:f>C9*0.6</x:f>
        <x:v>0.027</x:v>
      </x:c>
      <x:c r="C9" s="157" t="n">
        <x:v>0.045</x:v>
      </x:c>
      <x:c r="D9" s="157" t="n">
        <x:f>C9*1.6</x:f>
        <x:v>0.072</x:v>
      </x:c>
      <x:c r="E9" s="153" t="inlineStr">
        <x:is>
          <x:t xml:space="preserve">%</x:t>
        </x:is>
      </x:c>
      <x:c r="F9" s="178" t="str">
        <x:v>Nguồn số: bảng Giả định. Đã nhập churn 4,5%/tháng; đây là giả định chưa đo thực tế.</x:v>
      </x:c>
      <x:c r="G9" s="155"/>
    </x:row>
    <x:row r="10" s="112" customFormat="1" ht="31.5" customHeight="1">
      <x:c r="A10" s="176" t="inlineStr">
        <x:is>
          <x:t xml:space="preserve">Chi phí có một khách (CAC) = tiền quảng cáo và bán hàng 1 tháng ÷ số khách mới tháng đó</x:t>
        </x:is>
      </x:c>
      <x:c r="B10" s="180" t="n">
        <x:f>C10*0.8</x:f>
        <x:v>5600000</x:v>
      </x:c>
      <x:c r="C10" s="180" t="n">
        <x:v>7000000</x:v>
      </x:c>
      <x:c r="D10" s="180" t="n">
        <x:f>C10*1.5</x:f>
        <x:v>10500000</x:v>
      </x:c>
      <x:c r="E10" s="153" t="inlineStr">
        <x:is>
          <x:t xml:space="preserve">VND / khách</x:t>
        </x:is>
      </x:c>
      <x:c r="F10" s="178" t="str">
        <x:v>Nguồn số: bảng Giả định. Đã nhập CAC 7.000.000 đồng/trung tâm.</x:v>
      </x:c>
      <x:c r="G10" s="155"/>
    </x:row>
    <x:row r="11" s="112" customFormat="1" ht="46.5" customHeight="1">
      <x:c r="A11" s="176" t="inlineStr">
        <x:is>
          <x:t xml:space="preserve">Chi phí cố định / tháng (lương đội, văn phòng, hạ tầng trả cố định)</x:t>
        </x:is>
      </x:c>
      <x:c r="B11" s="180" t="n">
        <x:f>C11</x:f>
        <x:v>160000000</x:v>
      </x:c>
      <x:c r="C11" s="180" t="n">
        <x:v>160000000</x:v>
      </x:c>
      <x:c r="D11" s="180" t="n">
        <x:f>C11</x:f>
        <x:v>160000000</x:v>
      </x:c>
      <x:c r="E11" s="153" t="inlineStr">
        <x:is>
          <x:t xml:space="preserve">VND / tháng</x:t>
        </x:is>
      </x:c>
      <x:c r="F11" s="178" t="str">
        <x:v>Nguồn số: bảng Giả định. Đã nhập chi phí cố định 160.000.000 đồng/tháng.</x:v>
      </x:c>
      <x:c r="G11" s="124"/>
    </x:row>
    <x:row r="12" s="112" customFormat="1" ht="76.5" customHeight="1">
      <x:c r="A12" s="122" t="inlineStr">
        <x:is>
          <x:t xml:space="preserve">Chi phí xây dựng ban đầu, gồm chi phí thử sai (chi một lần ở tháng 0)</x:t>
        </x:is>
      </x:c>
      <x:c r="B12" s="180" t="n">
        <x:f>C12</x:f>
        <x:v>600000000</x:v>
      </x:c>
      <x:c r="C12" s="180" t="n">
        <x:v>600000000</x:v>
      </x:c>
      <x:c r="D12" s="180" t="n">
        <x:f>C12</x:f>
        <x:v>600000000</x:v>
      </x:c>
      <x:c r="E12" s="153" t="inlineStr">
        <x:is>
          <x:t xml:space="preserve">VND</x:t>
        </x:is>
      </x:c>
      <x:c r="F12" s="178" t="str">
        <x:v>Nguồn số: bảng Giả định. Đã nhập chi phí xây dựng 600.000.000 đồng.</x:v>
      </x:c>
      <x:c r="G12" s="124"/>
    </x:row>
    <x:row r="13" s="112" customFormat="1" ht="31.5" customHeight="1">
      <x:c r="A13" s="176" t="inlineStr">
        <x:is>
          <x:t xml:space="preserve">Tiền mặt hoặc ngân sách đã duyệt (trước khi chi xây dựng)</x:t>
        </x:is>
      </x:c>
      <x:c r="B13" s="180" t="n">
        <x:f>C13</x:f>
        <x:v>3000000000</x:v>
      </x:c>
      <x:c r="C13" s="180" t="n">
        <x:v>3000000000</x:v>
      </x:c>
      <x:c r="D13" s="180" t="n">
        <x:f>C13</x:f>
        <x:v>3000000000</x:v>
      </x:c>
      <x:c r="E13" s="153" t="inlineStr">
        <x:is>
          <x:t xml:space="preserve">VND</x:t>
        </x:is>
      </x:c>
      <x:c r="F13" s="178" t="str">
        <x:v>Nguồn số: bảng Giả định. Đã nhập tiền mặt 3.000.000.000 đồng trước xây dựng.</x:v>
      </x:c>
      <x:c r="G13" s="155"/>
    </x:row>
    <x:row r="14" s="112" customFormat="1" ht="15.75" customHeight="1">
      <x:c r="A14" s="151" t="inlineStr">
        <x:is>
          <x:t xml:space="preserve">Lãi suất chiết khấu / năm</x:t>
        </x:is>
      </x:c>
      <x:c r="B14" s="157" t="n">
        <x:v>0.15</x:v>
      </x:c>
      <x:c r="C14" s="157" t="n">
        <x:v>0.15</x:v>
      </x:c>
      <x:c r="D14" s="157" t="n">
        <x:v>0.15</x:v>
      </x:c>
      <x:c r="E14" s="153" t="inlineStr">
        <x:is>
          <x:t xml:space="preserve">%</x:t>
        </x:is>
      </x:c>
      <x:c r="F14" s="181" t="str">
        <x:v>Nguồn số: bảng Giả định. Đã giữ chi phí vốn 15%/năm.</x:v>
      </x:c>
      <x:c r="G14" s="155"/>
    </x:row>
    <x:row r="16" s="112" customFormat="1" ht="15" customHeight="1">
      <x:c r="A16" s="116" t="inlineStr">
        <x:is>
          <x:t xml:space="preserve">Giá trị tính ra</x:t>
        </x:is>
      </x:c>
    </x:row>
    <x:row r="17" s="112" customFormat="1" ht="15" customHeight="1">
      <x:c r="A17" s="158" t="inlineStr">
        <x:is>
          <x:t xml:space="preserve">Doanh thu bình quân / khách / tháng</x:t>
        </x:is>
      </x:c>
      <x:c r="B17" s="159" t="n">
        <x:f>'2_Định giá'!D17*B5*(1-'2_Định giá'!$B$27)</x:f>
        <x:v>5731000.000000001</x:v>
      </x:c>
      <x:c r="C17" s="159" t="n">
        <x:f>'2_Định giá'!D17*C5*(1-'2_Định giá'!$B$27)</x:f>
        <x:v>5210000</x:v>
      </x:c>
      <x:c r="D17" s="159" t="n">
        <x:f>'2_Định giá'!D17*D5*(1-'2_Định giá'!$B$27)</x:f>
        <x:v>4168000</x:v>
      </x:c>
    </x:row>
    <x:row r="18" s="112" customFormat="1" ht="15" customHeight="1">
      <x:c r="A18" s="158" t="inlineStr">
        <x:is>
          <x:t xml:space="preserve">Chi phí AI (giá vốn) / khách / tháng</x:t>
        </x:is>
      </x:c>
      <x:c r="B18" s="159" t="n">
        <x:f>'2_Định giá'!E17*B6</x:f>
        <x:v>1457458.2000000002</x:v>
      </x:c>
      <x:c r="C18" s="159" t="n">
        <x:f>'2_Định giá'!E17*C6</x:f>
        <x:v>1619398.0000000002</x:v>
      </x:c>
      <x:c r="D18" s="159" t="n">
        <x:f>'2_Định giá'!E17*D6</x:f>
        <x:v>1943277.6</x:v>
      </x:c>
    </x:row>
    <x:row r="19" s="112" customFormat="1" ht="15" customHeight="1">
      <x:c r="A19" s="162" t="inlineStr">
        <x:is>
          <x:t xml:space="preserve">Doanh thu bình quân đã trừ phần chia cho đối tác (trang 2, dòng 27).</x:t>
        </x:is>
      </x:c>
    </x:row>
    <x:row r="20" s="112" customFormat="1" ht="15" customHeight="1">
      <x:c r="A20" s="116" t="inlineStr">
        <x:is>
          <x:t xml:space="preserve">Kiểm tra kịch bản xấu</x:t>
        </x:is>
      </x:c>
    </x:row>
    <x:row r="21" s="112" customFormat="1" ht="15" customHeight="1">
      <x:c r="A21" s="111" t="inlineStr">
        <x:is>
          <x:t xml:space="preserve">Tỷ lệ rời bỏ (xấu) ≥ 1,5 × cơ sở?</x:t>
        </x:is>
      </x:c>
      <x:c r="B21" s="171" t="str">
        <x:f>IF(C9=0,"Chưa điền",IF(D9&gt;=1.5*C9,"Đạt","Chưa đủ sốc"))</x:f>
        <x:v>Đạt</x:v>
      </x:c>
    </x:row>
    <x:row r="22" s="112" customFormat="1" ht="15" customHeight="1">
      <x:c r="A22" s="111" t="inlineStr">
        <x:is>
          <x:t xml:space="preserve">Chi phí có một khách (xấu) ≥ 1,5 × cơ sở?</x:t>
        </x:is>
      </x:c>
      <x:c r="B22" s="171" t="str">
        <x:f>IF(C10=0,"Chưa điền",IF(D10&gt;=1.5*C10,"Đạt","Chưa đủ sốc"))</x:f>
        <x:v>Đạt</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ColWidth="8.6796875" defaultRowHeight="15"/>
  <x:cols>
    <x:col min="1" max="1" width="40" style="111" customWidth="1"/>
    <x:col min="2" max="4" width="18" style="111" customWidth="1"/>
    <x:col min="5" max="5" width="20" style="111" customWidth="1"/>
  </x:cols>
  <x:sheetData>
    <x:row r="1" s="112" customFormat="1" ht="17.25" customHeight="1">
      <x:c r="A1" s="113" t="str">
        <x:v>4 · Chỉ số mỗi khách — kết quả đã tính</x:v>
      </x:c>
    </x:row>
    <x:row r="2" s="112" customFormat="1" ht="15" customHeight="1">
      <x:c r="A2" s="120" t="str">
        <x:v>Đã đọc kết quả ba kịch bản: biên gộp, LTV, CAC, LTV/CAC và thời gian hoàn vốn.</x:v>
      </x:c>
    </x:row>
    <x:row r="4" s="112" customFormat="1" ht="15" customHeight="1">
      <x:c r="A4" s="125" t="inlineStr">
        <x:is>
          <x:t xml:space="preserve">Chỉ số</x:t>
        </x:is>
      </x:c>
      <x:c r="B4" s="125" t="inlineStr">
        <x:is>
          <x:t xml:space="preserve">Lạc quan</x:t>
        </x:is>
      </x:c>
      <x:c r="C4" s="125" t="inlineStr">
        <x:is>
          <x:t xml:space="preserve">Cơ sở</x:t>
        </x:is>
      </x:c>
      <x:c r="D4" s="125" t="inlineStr">
        <x:is>
          <x:t xml:space="preserve">Xấu</x:t>
        </x:is>
      </x:c>
      <x:c r="E4" s="125" t="inlineStr">
        <x:is>
          <x:t xml:space="preserve">Ngưỡng tham khảo</x:t>
        </x:is>
      </x:c>
    </x:row>
    <x:row r="5" s="112" customFormat="1" ht="15" customHeight="1">
      <x:c r="A5" s="158" t="inlineStr">
        <x:is>
          <x:t xml:space="preserve">Doanh thu bình quân / khách / tháng</x:t>
        </x:is>
      </x:c>
      <x:c r="B5" s="159" t="n">
        <x:f>'3_Giả định'!B17</x:f>
        <x:v>5731000.000000001</x:v>
      </x:c>
      <x:c r="C5" s="159" t="n">
        <x:f>'3_Giả định'!C17</x:f>
        <x:v>5210000</x:v>
      </x:c>
      <x:c r="D5" s="159" t="n">
        <x:f>'3_Giả định'!D17</x:f>
        <x:v>4168000</x:v>
      </x:c>
    </x:row>
    <x:row r="6" s="112" customFormat="1" ht="15" customHeight="1">
      <x:c r="A6" s="158" t="inlineStr">
        <x:is>
          <x:t xml:space="preserve">Lợi nhuận gộp / khách / tháng</x:t>
        </x:is>
      </x:c>
      <x:c r="B6" s="159" t="n">
        <x:f>'3_Giả định'!B17-'3_Giả định'!B18</x:f>
        <x:v>4273541.800000001</x:v>
      </x:c>
      <x:c r="C6" s="159" t="n">
        <x:f>'3_Giả định'!C17-'3_Giả định'!C18</x:f>
        <x:v>3590602</x:v>
      </x:c>
      <x:c r="D6" s="159" t="n">
        <x:f>'3_Giả định'!D17-'3_Giả định'!D18</x:f>
        <x:v>2224722.4</x:v>
      </x:c>
    </x:row>
    <x:row r="7" s="112" customFormat="1" ht="15" customHeight="1">
      <x:c r="A7" s="158" t="inlineStr">
        <x:is>
          <x:t xml:space="preserve">Biên lợi nhuận gộp</x:t>
        </x:is>
      </x:c>
      <x:c r="B7" s="161" t="n">
        <x:f>IFERROR(B6/B5,0)</x:f>
        <x:v>0.7456886756238004</x:v>
      </x:c>
      <x:c r="C7" s="161" t="n">
        <x:f>IFERROR(C6/C5,0)</x:f>
        <x:v>0.6891750479846449</x:v>
      </x:c>
      <x:c r="D7" s="161" t="n">
        <x:f>IFERROR(D6/D5,0)</x:f>
        <x:v>0.5337625719769673</x:v>
      </x:c>
      <x:c r="E7" s="111" t="inlineStr">
        <x:is>
          <x:t xml:space="preserve">≥ 60%</x:t>
        </x:is>
      </x:c>
    </x:row>
    <x:row r="8" s="112" customFormat="1" ht="15" customHeight="1">
      <x:c r="A8" s="158" t="inlineStr">
        <x:is>
          <x:t xml:space="preserve">Số tháng khách ở lại = 1 ÷ tỷ lệ rời bỏ</x:t>
        </x:is>
      </x:c>
      <x:c r="B8" s="182" t="n">
        <x:f>IFERROR(1/'3_Giả định'!B9,0)</x:f>
        <x:v>37.03703703703704</x:v>
      </x:c>
      <x:c r="C8" s="182" t="n">
        <x:f>IFERROR(1/'3_Giả định'!C9,0)</x:f>
        <x:v>22.22222222222222</x:v>
      </x:c>
      <x:c r="D8" s="182" t="n">
        <x:f>IFERROR(1/'3_Giả định'!D9,0)</x:f>
        <x:v>13.88888888888889</x:v>
      </x:c>
    </x:row>
    <x:row r="9" s="112" customFormat="1" ht="15" customHeight="1">
      <x:c r="A9" s="158" t="inlineStr">
        <x:is>
          <x:t xml:space="preserve">Giá trị vòng đời (LTV) = lợi nhuận gộp × số tháng ở lại</x:t>
        </x:is>
      </x:c>
      <x:c r="B9" s="159" t="n">
        <x:f>B6*B8</x:f>
        <x:v>158279325.92592597</x:v>
      </x:c>
      <x:c r="C9" s="159" t="n">
        <x:f>C6*C8</x:f>
        <x:v>79791155.55555555</x:v>
      </x:c>
      <x:c r="D9" s="159" t="n">
        <x:f>D6*D8</x:f>
        <x:v>30898922.22222222</x:v>
      </x:c>
    </x:row>
    <x:row r="10" s="112" customFormat="1" ht="15" customHeight="1">
      <x:c r="A10" s="158" t="inlineStr">
        <x:is>
          <x:t xml:space="preserve">Chi phí có một khách (CAC)</x:t>
        </x:is>
      </x:c>
      <x:c r="B10" s="159" t="n">
        <x:f>'3_Giả định'!B10</x:f>
        <x:v>5600000</x:v>
      </x:c>
      <x:c r="C10" s="159" t="n">
        <x:f>'3_Giả định'!C10</x:f>
        <x:v>7000000</x:v>
      </x:c>
      <x:c r="D10" s="159" t="n">
        <x:f>'3_Giả định'!D10</x:f>
        <x:v>10500000</x:v>
      </x:c>
    </x:row>
    <x:row r="11" s="112" customFormat="1" ht="15" customHeight="1">
      <x:c r="A11" s="158" t="inlineStr">
        <x:is>
          <x:t xml:space="preserve">LTV ÷ CAC (lần)</x:t>
        </x:is>
      </x:c>
      <x:c r="B11" s="183" t="n">
        <x:f>IFERROR(B9/B10,0)</x:f>
        <x:v>28.26416534391535</x:v>
      </x:c>
      <x:c r="C11" s="183" t="n">
        <x:f>IFERROR(C9/C10,0)</x:f>
        <x:v>11.398736507936507</x:v>
      </x:c>
      <x:c r="D11" s="183" t="n">
        <x:f>IFERROR(D9/D10,0)</x:f>
        <x:v>2.942754497354497</x:v>
      </x:c>
      <x:c r="E11" s="115" t="inlineStr">
        <x:is>
          <x:t xml:space="preserve">&gt; 3 (Ngày 23); mô hình của bạn: trang 5, dòng 74</x:t>
        </x:is>
      </x:c>
    </x:row>
    <x:row r="12" s="112" customFormat="1" ht="15" customHeight="1">
      <x:c r="A12" s="158" t="inlineStr">
        <x:is>
          <x:t xml:space="preserve">Thời gian hoàn vốn chi phí có khách (tháng)</x:t>
        </x:is>
      </x:c>
      <x:c r="B12" s="182" t="n">
        <x:f>IFERROR(B10/B6,0)</x:f>
        <x:v>1.310388493216563</x:v>
      </x:c>
      <x:c r="C12" s="182" t="n">
        <x:f>IFERROR(C10/C6,0)</x:f>
        <x:v>1.94953381076488</x:v>
      </x:c>
      <x:c r="D12" s="182" t="n">
        <x:f>IFERROR(D10/D6,0)</x:f>
        <x:v>4.7196899712071945</x:v>
      </x:c>
      <x:c r="E12" s="111" t="inlineStr">
        <x:is>
          <x:t xml:space="preserve">&lt; 12 tháng</x:t>
        </x:is>
      </x:c>
    </x:row>
    <x:row r="13" s="112" customFormat="1" ht="15" customHeight="1">
      <x:c r="A13" s="158" t="inlineStr">
        <x:is>
          <x:t xml:space="preserve">Đánh giá</x:t>
        </x:is>
      </x:c>
      <x:c r="B13" s="184" t="str">
        <x:f>IF(B5&lt;=0,"Chưa điền trang 2–3",IF(B6&lt;=0,"Lỗ trên từng khách",IF(AND(B11&gt;3,B12&lt;12,B7&gt;=0.6),"Khỏe",IF(B11&gt;=1,"Cần cải thiện","Đốt tiền"))))</x:f>
        <x:v>Khỏe</x:v>
      </x:c>
      <x:c r="C13" s="184" t="str">
        <x:f>IF(C5&lt;=0,"Chưa điền trang 2–3",IF(C6&lt;=0,"Lỗ trên từng khách",IF(AND(C11&gt;3,C12&lt;12,C7&gt;=0.6),"Khỏe",IF(C11&gt;=1,"Cần cải thiện","Đốt tiền"))))</x:f>
        <x:v>Khỏe</x:v>
      </x:c>
      <x:c r="D13" s="184" t="str">
        <x:f>IF(D5&lt;=0,"Chưa điền trang 2–3",IF(D6&lt;=0,"Lỗ trên từng khách",IF(AND(D11&gt;3,D12&lt;12,D7&gt;=0.6),"Khỏe",IF(D11&gt;=1,"Cần cải thiện","Đốt tiền"))))</x:f>
        <x:v>Cần cải thiện</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pane xSplit="1" ySplit="4" topLeftCell="B5" activePane="bottomRight" state="frozen"/>
    </x:sheetView>
  </x:sheetViews>
  <x:sheetFormatPr baseColWidth="8" defaultColWidth="8.6796875" defaultRowHeight="15"/>
  <x:cols>
    <x:col min="1" max="1" width="38" style="111" customWidth="1"/>
    <x:col min="2" max="26" width="18" style="111" customWidth="1"/>
  </x:cols>
  <x:sheetData>
    <x:row r="1" s="112" customFormat="1" ht="17.25" customHeight="1">
      <x:c r="A1" s="113" t="str">
        <x:v>5 · Dòng tiền &amp; hiệu quả — kết quả đã tính</x:v>
      </x:c>
    </x:row>
    <x:row r="2" s="112" customFormat="1" ht="15" customHeight="1">
      <x:c r="A2" s="120" t="str">
        <x:v>Đã kiểm tra NPV, tiền mặt, độ nhạy và mức tự tính cho quyết định.</x:v>
      </x:c>
    </x:row>
    <x:row r="4" s="112" customFormat="1" ht="15" customHeight="1">
      <x:c r="A4" s="125" t="inlineStr">
        <x:is>
          <x:t xml:space="preserve">Kịch bản / dòng</x:t>
        </x:is>
      </x:c>
      <x:c r="B4" s="125" t="inlineStr">
        <x:is>
          <x:t xml:space="preserve">Tháng 0</x:t>
        </x:is>
      </x:c>
      <x:c r="C4" s="125" t="inlineStr">
        <x:is>
          <x:t xml:space="preserve">T1</x:t>
        </x:is>
      </x:c>
      <x:c r="D4" s="125" t="inlineStr">
        <x:is>
          <x:t xml:space="preserve">T2</x:t>
        </x:is>
      </x:c>
      <x:c r="E4" s="125" t="inlineStr">
        <x:is>
          <x:t xml:space="preserve">T3</x:t>
        </x:is>
      </x:c>
      <x:c r="F4" s="125" t="inlineStr">
        <x:is>
          <x:t xml:space="preserve">T4</x:t>
        </x:is>
      </x:c>
      <x:c r="G4" s="125" t="inlineStr">
        <x:is>
          <x:t xml:space="preserve">T5</x:t>
        </x:is>
      </x:c>
      <x:c r="H4" s="125" t="inlineStr">
        <x:is>
          <x:t xml:space="preserve">T6</x:t>
        </x:is>
      </x:c>
      <x:c r="I4" s="125" t="inlineStr">
        <x:is>
          <x:t xml:space="preserve">T7</x:t>
        </x:is>
      </x:c>
      <x:c r="J4" s="125" t="inlineStr">
        <x:is>
          <x:t xml:space="preserve">T8</x:t>
        </x:is>
      </x:c>
      <x:c r="K4" s="125" t="inlineStr">
        <x:is>
          <x:t xml:space="preserve">T9</x:t>
        </x:is>
      </x:c>
      <x:c r="L4" s="125" t="inlineStr">
        <x:is>
          <x:t xml:space="preserve">T10</x:t>
        </x:is>
      </x:c>
      <x:c r="M4" s="125" t="inlineStr">
        <x:is>
          <x:t xml:space="preserve">T11</x:t>
        </x:is>
      </x:c>
      <x:c r="N4" s="125" t="inlineStr">
        <x:is>
          <x:t xml:space="preserve">T12</x:t>
        </x:is>
      </x:c>
      <x:c r="O4" s="125" t="inlineStr">
        <x:is>
          <x:t xml:space="preserve">T13</x:t>
        </x:is>
      </x:c>
      <x:c r="P4" s="125" t="inlineStr">
        <x:is>
          <x:t xml:space="preserve">T14</x:t>
        </x:is>
      </x:c>
      <x:c r="Q4" s="125" t="inlineStr">
        <x:is>
          <x:t xml:space="preserve">T15</x:t>
        </x:is>
      </x:c>
      <x:c r="R4" s="125" t="inlineStr">
        <x:is>
          <x:t xml:space="preserve">T16</x:t>
        </x:is>
      </x:c>
      <x:c r="S4" s="125" t="inlineStr">
        <x:is>
          <x:t xml:space="preserve">T17</x:t>
        </x:is>
      </x:c>
      <x:c r="T4" s="125" t="inlineStr">
        <x:is>
          <x:t xml:space="preserve">T18</x:t>
        </x:is>
      </x:c>
      <x:c r="U4" s="125" t="inlineStr">
        <x:is>
          <x:t xml:space="preserve">T19</x:t>
        </x:is>
      </x:c>
      <x:c r="V4" s="125" t="inlineStr">
        <x:is>
          <x:t xml:space="preserve">T20</x:t>
        </x:is>
      </x:c>
      <x:c r="W4" s="125" t="inlineStr">
        <x:is>
          <x:t xml:space="preserve">T21</x:t>
        </x:is>
      </x:c>
      <x:c r="X4" s="125" t="inlineStr">
        <x:is>
          <x:t xml:space="preserve">T22</x:t>
        </x:is>
      </x:c>
      <x:c r="Y4" s="125" t="inlineStr">
        <x:is>
          <x:t xml:space="preserve">T23</x:t>
        </x:is>
      </x:c>
      <x:c r="Z4" s="125" t="inlineStr">
        <x:is>
          <x:t xml:space="preserve">T24</x:t>
        </x:is>
      </x:c>
    </x:row>
    <x:row r="5" s="112" customFormat="1" ht="15" customHeight="1">
      <x:c r="A5" s="185" t="inlineStr">
        <x:is>
          <x:t xml:space="preserve">LẠC QUAN</x:t>
        </x:is>
      </x:c>
    </x:row>
    <x:row r="6" s="112" customFormat="1" ht="15" customHeight="1">
      <x:c r="A6" s="158" t="inlineStr">
        <x:is>
          <x:t xml:space="preserve">Khách mới</x:t>
        </x:is>
      </x:c>
      <x:c r="C6" s="186" t="n">
        <x:f>'3_Giả định'!$B$7*(1+'3_Giả định'!$B$8)^0</x:f>
        <x:v>13</x:v>
      </x:c>
      <x:c r="D6" s="186" t="n">
        <x:f>'3_Giả định'!$B$7*(1+'3_Giả định'!$B$8)^1</x:f>
        <x:v>14.040000000000001</x:v>
      </x:c>
      <x:c r="E6" s="186" t="n">
        <x:f>'3_Giả định'!$B$7*(1+'3_Giả định'!$B$8)^2</x:f>
        <x:v>15.163200000000002</x:v>
      </x:c>
      <x:c r="F6" s="186" t="n">
        <x:f>'3_Giả định'!$B$7*(1+'3_Giả định'!$B$8)^3</x:f>
        <x:v>16.376256</x:v>
      </x:c>
      <x:c r="G6" s="186" t="n">
        <x:f>'3_Giả định'!$B$7*(1+'3_Giả định'!$B$8)^4</x:f>
        <x:v>17.686356480000004</x:v>
      </x:c>
      <x:c r="H6" s="186" t="n">
        <x:f>'3_Giả định'!$B$7*(1+'3_Giả định'!$B$8)^5</x:f>
        <x:v>19.10126499840001</x:v>
      </x:c>
      <x:c r="I6" s="186" t="n">
        <x:f>'3_Giả định'!$B$7*(1+'3_Giả định'!$B$8)^6</x:f>
        <x:v>20.629366198272006</x:v>
      </x:c>
      <x:c r="J6" s="186" t="n">
        <x:f>'3_Giả định'!$B$7*(1+'3_Giả định'!$B$8)^7</x:f>
        <x:v>22.27971549413377</x:v>
      </x:c>
      <x:c r="K6" s="186" t="n">
        <x:f>'3_Giả định'!$B$7*(1+'3_Giả định'!$B$8)^8</x:f>
        <x:v>24.06209273366447</x:v>
      </x:c>
      <x:c r="L6" s="186" t="n">
        <x:f>'3_Giả định'!$B$7*(1+'3_Giả định'!$B$8)^9</x:f>
        <x:v>25.987060152357632</x:v>
      </x:c>
      <x:c r="M6" s="186" t="n">
        <x:f>'3_Giả định'!$B$7*(1+'3_Giả định'!$B$8)^10</x:f>
        <x:v>28.066024964546248</x:v>
      </x:c>
      <x:c r="N6" s="186" t="n">
        <x:f>'3_Giả định'!$B$7*(1+'3_Giả định'!$B$8)^11</x:f>
        <x:v>30.311306961709946</x:v>
      </x:c>
      <x:c r="O6" s="186" t="n">
        <x:f>'3_Giả định'!$B$7*(1+'3_Giả định'!$B$8)^12</x:f>
        <x:v>32.73621151864674</x:v>
      </x:c>
      <x:c r="P6" s="186" t="n">
        <x:f>'3_Giả định'!$B$7*(1+'3_Giả định'!$B$8)^13</x:f>
        <x:v>35.35510844013849</x:v>
      </x:c>
      <x:c r="Q6" s="186" t="n">
        <x:f>'3_Giả định'!$B$7*(1+'3_Giả định'!$B$8)^14</x:f>
        <x:v>38.18351711534957</x:v>
      </x:c>
      <x:c r="R6" s="186" t="n">
        <x:f>'3_Giả định'!$B$7*(1+'3_Giả định'!$B$8)^15</x:f>
        <x:v>41.23819848457754</x:v>
      </x:c>
      <x:c r="S6" s="186" t="n">
        <x:f>'3_Giả định'!$B$7*(1+'3_Giả định'!$B$8)^16</x:f>
        <x:v>44.53725436334374</x:v>
      </x:c>
      <x:c r="T6" s="186" t="n">
        <x:f>'3_Giả định'!$B$7*(1+'3_Giả định'!$B$8)^17</x:f>
        <x:v>48.10023471241125</x:v>
      </x:c>
      <x:c r="U6" s="186" t="n">
        <x:f>'3_Giả định'!$B$7*(1+'3_Giả định'!$B$8)^18</x:f>
        <x:v>51.948253489404145</x:v>
      </x:c>
      <x:c r="V6" s="186" t="n">
        <x:f>'3_Giả định'!$B$7*(1+'3_Giả định'!$B$8)^19</x:f>
        <x:v>56.10411376855648</x:v>
      </x:c>
      <x:c r="W6" s="186" t="n">
        <x:f>'3_Giả định'!$B$7*(1+'3_Giả định'!$B$8)^20</x:f>
        <x:v>60.592442870041005</x:v>
      </x:c>
      <x:c r="X6" s="186" t="n">
        <x:f>'3_Giả định'!$B$7*(1+'3_Giả định'!$B$8)^21</x:f>
        <x:v>65.4398382996443</x:v>
      </x:c>
      <x:c r="Y6" s="186" t="n">
        <x:f>'3_Giả định'!$B$7*(1+'3_Giả định'!$B$8)^22</x:f>
        <x:v>70.67502536361584</x:v>
      </x:c>
      <x:c r="Z6" s="186" t="n">
        <x:f>'3_Giả định'!$B$7*(1+'3_Giả định'!$B$8)^23</x:f>
        <x:v>76.3290273927051</x:v>
      </x:c>
    </x:row>
    <x:row r="7" s="112" customFormat="1" ht="15" customHeight="1">
      <x:c r="A7" s="158" t="inlineStr">
        <x:is>
          <x:t xml:space="preserve">Khách đang dùng</x:t>
        </x:is>
      </x:c>
      <x:c r="B7" s="111" t="n">
        <x:v>0</x:v>
      </x:c>
      <x:c r="C7" s="186" t="n">
        <x:f>B7*(1-'3_Giả định'!$B$9)+C6</x:f>
        <x:v>13</x:v>
      </x:c>
      <x:c r="D7" s="186" t="n">
        <x:f>C7*(1-'3_Giả định'!$B$9)+D6</x:f>
        <x:v>26.689</x:v>
      </x:c>
      <x:c r="E7" s="186" t="n">
        <x:f>D7*(1-'3_Giả định'!$B$9)+E6</x:f>
        <x:v>41.131597</x:v>
      </x:c>
      <x:c r="F7" s="186" t="n">
        <x:f>E7*(1-'3_Giả định'!$B$9)+F6</x:f>
        <x:v>56.397299880999995</x:v>
      </x:c>
      <x:c r="G7" s="186" t="n">
        <x:f>F7*(1-'3_Giả định'!$B$9)+G6</x:f>
        <x:v>72.560929264213</x:v>
      </x:c>
      <x:c r="H7" s="186" t="n">
        <x:f>G7*(1-'3_Giả định'!$B$9)+H6</x:f>
        <x:v>89.70304917247925</x:v>
      </x:c>
      <x:c r="I7" s="186" t="n">
        <x:f>H7*(1-'3_Giả định'!$B$9)+I6</x:f>
        <x:v>107.91043304309432</x:v>
      </x:c>
      <x:c r="J7" s="186" t="n">
        <x:f>I7*(1-'3_Giả định'!$B$9)+J6</x:f>
        <x:v>127.27656684506454</x:v>
      </x:c>
      <x:c r="K7" s="186" t="n">
        <x:f>J7*(1-'3_Giả định'!$B$9)+K6</x:f>
        <x:v>147.90219227391225</x:v>
      </x:c>
      <x:c r="L7" s="186" t="n">
        <x:f>K7*(1-'3_Giả định'!$B$9)+L6</x:f>
        <x:v>169.89589323487425</x:v>
      </x:c>
      <x:c r="M7" s="186" t="n">
        <x:f>L7*(1-'3_Giả định'!$B$9)+M6</x:f>
        <x:v>193.3747290820789</x:v>
      </x:c>
      <x:c r="N7" s="186" t="n">
        <x:f>M7*(1-'3_Giả định'!$B$9)+N6</x:f>
        <x:v>218.46491835857267</x:v>
      </x:c>
      <x:c r="O7" s="186" t="n">
        <x:f>N7*(1-'3_Giả định'!$B$9)+O6</x:f>
        <x:v>245.30257708153795</x:v>
      </x:c>
      <x:c r="P7" s="186" t="n">
        <x:f>O7*(1-'3_Giả định'!$B$9)+P6</x:f>
        <x:v>274.03451594047493</x:v>
      </x:c>
      <x:c r="Q7" s="186" t="n">
        <x:f>P7*(1-'3_Giả định'!$B$9)+Q6</x:f>
        <x:v>304.81910112543164</x:v>
      </x:c>
      <x:c r="R7" s="186" t="n">
        <x:f>Q7*(1-'3_Giả định'!$B$9)+R6</x:f>
        <x:v>337.8271838796225</x:v>
      </x:c>
      <x:c r="S7" s="186" t="n">
        <x:f>R7*(1-'3_Giả định'!$B$9)+S6</x:f>
        <x:v>373.24310427821644</x:v>
      </x:c>
      <x:c r="T7" s="186" t="n">
        <x:f>S7*(1-'3_Giả định'!$B$9)+T6</x:f>
        <x:v>411.26577517511583</x:v>
      </x:c>
      <x:c r="U7" s="186" t="n">
        <x:f>T7*(1-'3_Giả định'!$B$9)+U6</x:f>
        <x:v>452.10985273479184</x:v>
      </x:c>
      <x:c r="V7" s="186" t="n">
        <x:f>U7*(1-'3_Giả định'!$B$9)+V6</x:f>
        <x:v>496.0070004795089</x:v>
      </x:c>
      <x:c r="W7" s="186" t="n">
        <x:f>V7*(1-'3_Giả định'!$B$9)+W6</x:f>
        <x:v>543.2072543366032</x:v>
      </x:c>
      <x:c r="X7" s="186" t="n">
        <x:f>W7*(1-'3_Giả định'!$B$9)+X6</x:f>
        <x:v>593.9804967691592</x:v>
      </x:c>
      <x:c r="Y7" s="186" t="n">
        <x:f>X7*(1-'3_Giả định'!$B$9)+Y6</x:f>
        <x:v>648.6180487200078</x:v>
      </x:c>
      <x:c r="Z7" s="186" t="n">
        <x:f>Y7*(1-'3_Giả định'!$B$9)+Z6</x:f>
        <x:v>707.4343887972727</x:v>
      </x:c>
    </x:row>
    <x:row r="8" s="112" customFormat="1" ht="15" customHeight="1">
      <x:c r="A8" s="158" t="inlineStr">
        <x:is>
          <x:t xml:space="preserve">Doanh thu</x:t>
        </x:is>
      </x:c>
      <x:c r="C8" s="187" t="n">
        <x:f>C7*'3_Giả định'!$B$17</x:f>
        <x:v>74503000.00000001</x:v>
      </x:c>
      <x:c r="D8" s="187" t="n">
        <x:f>D7*'3_Giả định'!$B$17</x:f>
        <x:v>152954659.00000003</x:v>
      </x:c>
      <x:c r="E8" s="187" t="n">
        <x:f>E7*'3_Giả định'!$B$17</x:f>
        <x:v>235725182.40700004</x:v>
      </x:c>
      <x:c r="F8" s="187" t="n">
        <x:f>F7*'3_Giả định'!$B$17</x:f>
        <x:v>323212925.618011</x:v>
      </x:c>
      <x:c r="G8" s="187" t="n">
        <x:f>G7*'3_Giả định'!$B$17</x:f>
        <x:v>415846685.6132048</x:v>
      </x:c>
      <x:c r="H8" s="187" t="n">
        <x:f>H7*'3_Giả định'!$B$17</x:f>
        <x:v>514088174.80747867</x:v>
      </x:c>
      <x:c r="I8" s="187" t="n">
        <x:f>I7*'3_Giả định'!$B$17</x:f>
        <x:v>618434691.7699736</x:v>
      </x:c>
      <x:c r="J8" s="187" t="n">
        <x:f>J7*'3_Giả định'!$B$17</x:f>
        <x:v>729422004.589065</x:v>
      </x:c>
      <x:c r="K8" s="187" t="n">
        <x:f>K7*'3_Giả định'!$B$17</x:f>
        <x:v>847627463.9217912</x:v>
      </x:c>
      <x:c r="L8" s="187" t="n">
        <x:f>L7*'3_Giả định'!$B$17</x:f>
        <x:v>973673364.1290644</x:v>
      </x:c>
      <x:c r="M8" s="187" t="n">
        <x:f>M7*'3_Giả định'!$B$17</x:f>
        <x:v>1108230572.3693943</x:v>
      </x:c>
      <x:c r="N8" s="187" t="n">
        <x:f>N7*'3_Giả định'!$B$17</x:f>
        <x:v>1252022447.1129801</x:v>
      </x:c>
      <x:c r="O8" s="187" t="n">
        <x:f>O7*'3_Giả định'!$B$17</x:f>
        <x:v>1405829069.2542942</x:v>
      </x:c>
      <x:c r="P8" s="187" t="n">
        <x:f>P7*'3_Giả định'!$B$17</x:f>
        <x:v>1570491810.854862</x:v>
      </x:c>
      <x:c r="Q8" s="187" t="n">
        <x:f>Q7*'3_Giả định'!$B$17</x:f>
        <x:v>1746918268.549849</x:v>
      </x:c>
      <x:c r="R8" s="187" t="n">
        <x:f>R7*'3_Giả định'!$B$17</x:f>
        <x:v>1936087590.814117</x:v>
      </x:c>
      <x:c r="S8" s="187" t="n">
        <x:f>S7*'3_Giả định'!$B$17</x:f>
        <x:v>2139056230.6184587</x:v>
      </x:c>
      <x:c r="T8" s="187" t="n">
        <x:f>T7*'3_Giả định'!$B$17</x:f>
        <x:v>2356964157.5285892</x:v>
      </x:c>
      <x:c r="U8" s="187" t="n">
        <x:f>U7*'3_Giả định'!$B$17</x:f>
        <x:v>2591041566.0230923</x:v>
      </x:c>
      <x:c r="V8" s="187" t="n">
        <x:f>V7*'3_Giả định'!$B$17</x:f>
        <x:v>2842616119.748066</x:v>
      </x:c>
      <x:c r="W8" s="187" t="n">
        <x:f>W7*'3_Giả định'!$B$17</x:f>
        <x:v>3113120774.6030736</x:v>
      </x:c>
      <x:c r="X8" s="187" t="n">
        <x:f>X7*'3_Giả định'!$B$17</x:f>
        <x:v>3404102226.984052</x:v>
      </x:c>
      <x:c r="Y8" s="187" t="n">
        <x:f>Y7*'3_Giả định'!$B$17</x:f>
        <x:v>3717230037.214365</x:v>
      </x:c>
      <x:c r="Z8" s="187" t="n">
        <x:f>Z7*'3_Giả định'!$B$17</x:f>
        <x:v>4054306482.1971707</x:v>
      </x:c>
    </x:row>
    <x:row r="9" s="112" customFormat="1" ht="15" customHeight="1">
      <x:c r="A9" s="158" t="inlineStr">
        <x:is>
          <x:t xml:space="preserve">Chi phí AI (giá vốn)</x:t>
        </x:is>
      </x:c>
      <x:c r="C9" s="187" t="n">
        <x:f>C7*'3_Giả định'!$B$18</x:f>
        <x:v>18946956.6</x:v>
      </x:c>
      <x:c r="D9" s="187" t="n">
        <x:f>D7*'3_Giả định'!$B$18</x:f>
        <x:v>38898101.8998</x:v>
      </x:c>
      <x:c r="E9" s="187" t="n">
        <x:f>E7*'3_Giả định'!$B$18</x:f>
        <x:v>59947583.326745406</x:v>
      </x:c>
      <x:c r="F9" s="187" t="n">
        <x:f>F7*'3_Giả định'!$B$18</x:f>
        <x:v>82196707.16942248</x:v>
      </x:c>
      <x:c r="G9" s="187" t="n">
        <x:f>G7*'3_Giả định'!$B$18</x:f>
        <x:v>105754521.35574722</x:v>
      </x:c>
      <x:c r="H9" s="187" t="n">
        <x:f>H7*'3_Giả định'!$B$18</x:f>
        <x:v>130738444.58143312</x:v>
      </x:c>
      <x:c r="I9" s="187" t="n">
        <x:f>I7*'3_Giả định'!$B$18</x:f>
        <x:v>157274945.50420877</x:v>
      </x:c>
      <x:c r="J9" s="187" t="n">
        <x:f>J7*'3_Giả định'!$B$18</x:f>
        <x:v>185500276.01618746</x:v>
      </x:c>
      <x:c r="K9" s="187" t="n">
        <x:f>K7*'3_Giả định'!$B$18</x:f>
        <x:v>215561262.92759007</x:v>
      </x:c>
      <x:c r="L9" s="187" t="n">
        <x:f>L7*'3_Giả định'!$B$18</x:f>
        <x:v>247616162.74149203</x:v>
      </x:c>
      <x:c r="M9" s="187" t="n">
        <x:f>M7*'3_Giả định'!$B$18</x:f>
        <x:v>281835584.5734544</x:v>
      </x:c>
      <x:c r="N9" s="187" t="n">
        <x:f>N7*'3_Giả định'!$B$18</x:f>
        <x:v>318403486.67403233</x:v>
      </x:c>
      <x:c r="O9" s="187" t="n">
        <x:f>O7*'3_Giả định'!$B$18</x:f>
        <x:v>357518252.4486196</x:v>
      </x:c>
      <x:c r="P9" s="187" t="n">
        <x:f>P7*'3_Giả định'!$B$18</x:f>
        <x:v>399393852.340476</x:v>
      </x:c>
      <x:c r="Q9" s="187" t="n">
        <x:f>Q7*'3_Giả định'!$B$18</x:f>
        <x:v>444261098.45188963</x:v>
      </x:c>
      <x:c r="R9" s="187" t="n">
        <x:f>R7*'3_Giả định'!$B$18</x:f>
        <x:v>492368999.3282637</x:v>
      </x:c>
      <x:c r="S9" s="187" t="n">
        <x:f>S7*'3_Giả định'!$B$18</x:f>
        <x:v>543986222.9237417</x:v>
      </x:c>
      <x:c r="T9" s="187" t="n">
        <x:f>T7*'3_Giả định'!$B$18</x:f>
        <x:v>599402676.4083291</x:v>
      </x:c>
      <x:c r="U9" s="187" t="n">
        <x:f>U7*'3_Giả định'!$B$18</x:f>
        <x:v>658931212.1691148</x:v>
      </x:c>
      <x:c r="V9" s="187" t="n">
        <x:f>V7*'3_Giả định'!$B$18</x:f>
        <x:v>722909470.1062644</x:v>
      </x:c>
      <x:c r="W9" s="187" t="n">
        <x:f>W7*'3_Giả định'!$B$18</x:f>
        <x:v>791701867.1323681</x:v>
      </x:c>
      <x:c r="X9" s="187" t="n">
        <x:f>X7*'3_Giả định'!$B$18</x:f>
        <x:v>865701745.6562847</x:v>
      </x:c>
      <x:c r="Y9" s="187" t="n">
        <x:f>Y7*'3_Giả định'!$B$18</x:f>
        <x:v>945333693.774975</x:v>
      </x:c>
      <x:c r="Z9" s="187" t="n">
        <x:f>Z7*'3_Giả định'!$B$18</x:f>
        <x:v>1031056050.9145734</x:v>
      </x:c>
    </x:row>
    <x:row r="10" s="112" customFormat="1" ht="15" customHeight="1">
      <x:c r="A10" s="158" t="inlineStr">
        <x:is>
          <x:t xml:space="preserve">Lợi nhuận gộp</x:t>
        </x:is>
      </x:c>
      <x:c r="C10" s="187" t="n">
        <x:f>C8-C9</x:f>
        <x:v>55556043.40000001</x:v>
      </x:c>
      <x:c r="D10" s="187" t="n">
        <x:f>D8-D9</x:f>
        <x:v>114056557.10020003</x:v>
      </x:c>
      <x:c r="E10" s="187" t="n">
        <x:f>E8-E9</x:f>
        <x:v>175777599.0802546</x:v>
      </x:c>
      <x:c r="F10" s="187" t="n">
        <x:f>F8-F9</x:f>
        <x:v>241016218.44858852</x:v>
      </x:c>
      <x:c r="G10" s="187" t="n">
        <x:f>G8-G9</x:f>
        <x:v>310092164.25745755</x:v>
      </x:c>
      <x:c r="H10" s="187" t="n">
        <x:f>H8-H9</x:f>
        <x:v>383349730.22604555</x:v>
      </x:c>
      <x:c r="I10" s="187" t="n">
        <x:f>I8-I9</x:f>
        <x:v>461159746.26576483</x:v>
      </x:c>
      <x:c r="J10" s="187" t="n">
        <x:f>J8-J9</x:f>
        <x:v>543921728.5728775</x:v>
      </x:c>
      <x:c r="K10" s="187" t="n">
        <x:f>K8-K9</x:f>
        <x:v>632066200.9942012</x:v>
      </x:c>
      <x:c r="L10" s="187" t="n">
        <x:f>L8-L9</x:f>
        <x:v>726057201.3875724</x:v>
      </x:c>
      <x:c r="M10" s="187" t="n">
        <x:f>M8-M9</x:f>
        <x:v>826394987.7959399</x:v>
      </x:c>
      <x:c r="N10" s="187" t="n">
        <x:f>N8-N9</x:f>
        <x:v>933618960.4389478</x:v>
      </x:c>
      <x:c r="O10" s="187" t="n">
        <x:f>O8-O9</x:f>
        <x:v>1048310816.8056746</x:v>
      </x:c>
      <x:c r="P10" s="187" t="n">
        <x:f>P8-P9</x:f>
        <x:v>1171097958.514386</x:v>
      </x:c>
      <x:c r="Q10" s="187" t="n">
        <x:f>Q8-Q9</x:f>
        <x:v>1302657170.0979595</x:v>
      </x:c>
      <x:c r="R10" s="187" t="n">
        <x:f>R8-R9</x:f>
        <x:v>1443718591.4858532</x:v>
      </x:c>
      <x:c r="S10" s="187" t="n">
        <x:f>S8-S9</x:f>
        <x:v>1595070007.694717</x:v>
      </x:c>
      <x:c r="T10" s="187" t="n">
        <x:f>T8-T9</x:f>
        <x:v>1757561481.1202602</x:v>
      </x:c>
      <x:c r="U10" s="187" t="n">
        <x:f>U8-U9</x:f>
        <x:v>1932110353.8539774</x:v>
      </x:c>
      <x:c r="V10" s="187" t="n">
        <x:f>V8-V9</x:f>
        <x:v>2119706649.6418016</x:v>
      </x:c>
      <x:c r="W10" s="187" t="n">
        <x:f>W8-W9</x:f>
        <x:v>2321418907.4707055</x:v>
      </x:c>
      <x:c r="X10" s="187" t="n">
        <x:f>X8-X9</x:f>
        <x:v>2538400481.3277674</x:v>
      </x:c>
      <x:c r="Y10" s="187" t="n">
        <x:f>Y8-Y9</x:f>
        <x:v>2771896343.43939</x:v>
      </x:c>
      <x:c r="Z10" s="187" t="n">
        <x:f>Z8-Z9</x:f>
        <x:v>3023250431.2825975</x:v>
      </x:c>
    </x:row>
    <x:row r="11" s="112" customFormat="1" ht="15" customHeight="1">
      <x:c r="A11" s="158" t="inlineStr">
        <x:is>
          <x:t xml:space="preserve">Chi phí bán hàng (chi phí có khách × khách mới)</x:t>
        </x:is>
      </x:c>
      <x:c r="C11" s="187" t="n">
        <x:f>C6*'3_Giả định'!$B$10</x:f>
        <x:v>72800000</x:v>
      </x:c>
      <x:c r="D11" s="187" t="n">
        <x:f>D6*'3_Giả định'!$B$10</x:f>
        <x:v>78624000</x:v>
      </x:c>
      <x:c r="E11" s="187" t="n">
        <x:f>E6*'3_Giả định'!$B$10</x:f>
        <x:v>84913920.00000001</x:v>
      </x:c>
      <x:c r="F11" s="187" t="n">
        <x:f>F6*'3_Giả định'!$B$10</x:f>
        <x:v>91707033.60000001</x:v>
      </x:c>
      <x:c r="G11" s="187" t="n">
        <x:f>G6*'3_Giả định'!$B$10</x:f>
        <x:v>99043596.28800002</x:v>
      </x:c>
      <x:c r="H11" s="187" t="n">
        <x:f>H6*'3_Giả định'!$B$10</x:f>
        <x:v>106967083.99104005</x:v>
      </x:c>
      <x:c r="I11" s="187" t="n">
        <x:f>I6*'3_Giả định'!$B$10</x:f>
        <x:v>115524450.71032323</x:v>
      </x:c>
      <x:c r="J11" s="187" t="n">
        <x:f>J6*'3_Giả định'!$B$10</x:f>
        <x:v>124766406.76714912</x:v>
      </x:c>
      <x:c r="K11" s="187" t="n">
        <x:f>K6*'3_Giả định'!$B$10</x:f>
        <x:v>134747719.30852103</x:v>
      </x:c>
      <x:c r="L11" s="187" t="n">
        <x:f>L6*'3_Giả định'!$B$10</x:f>
        <x:v>145527536.85320273</x:v>
      </x:c>
      <x:c r="M11" s="187" t="n">
        <x:f>M6*'3_Giả định'!$B$10</x:f>
        <x:v>157169739.80145898</x:v>
      </x:c>
      <x:c r="N11" s="187" t="n">
        <x:f>N6*'3_Giả định'!$B$10</x:f>
        <x:v>169743318.9855757</x:v>
      </x:c>
      <x:c r="O11" s="187" t="n">
        <x:f>O6*'3_Giả định'!$B$10</x:f>
        <x:v>183322784.50442174</x:v>
      </x:c>
      <x:c r="P11" s="187" t="n">
        <x:f>P6*'3_Giả định'!$B$10</x:f>
        <x:v>197988607.2647755</x:v>
      </x:c>
      <x:c r="Q11" s="187" t="n">
        <x:f>Q6*'3_Giả định'!$B$10</x:f>
        <x:v>213827695.84595758</x:v>
      </x:c>
      <x:c r="R11" s="187" t="n">
        <x:f>R6*'3_Giả định'!$B$10</x:f>
        <x:v>230933911.5136342</x:v>
      </x:c>
      <x:c r="S11" s="187" t="n">
        <x:f>S6*'3_Giả định'!$B$10</x:f>
        <x:v>249408624.43472496</x:v>
      </x:c>
      <x:c r="T11" s="187" t="n">
        <x:f>T6*'3_Giả định'!$B$10</x:f>
        <x:v>269361314.389503</x:v>
      </x:c>
      <x:c r="U11" s="187" t="n">
        <x:f>U6*'3_Giả định'!$B$10</x:f>
        <x:v>290910219.5406632</x:v>
      </x:c>
      <x:c r="V11" s="187" t="n">
        <x:f>V6*'3_Giả định'!$B$10</x:f>
        <x:v>314183037.1039163</x:v>
      </x:c>
      <x:c r="W11" s="187" t="n">
        <x:f>W6*'3_Giả định'!$B$10</x:f>
        <x:v>339317680.0722296</x:v>
      </x:c>
      <x:c r="X11" s="187" t="n">
        <x:f>X6*'3_Giả định'!$B$10</x:f>
        <x:v>366463094.47800803</x:v>
      </x:c>
      <x:c r="Y11" s="187" t="n">
        <x:f>Y6*'3_Giả định'!$B$10</x:f>
        <x:v>395780142.03624874</x:v>
      </x:c>
      <x:c r="Z11" s="187" t="n">
        <x:f>Z6*'3_Giả định'!$B$10</x:f>
        <x:v>427442553.3991486</x:v>
      </x:c>
    </x:row>
    <x:row r="12" s="112" customFormat="1" ht="15" customHeight="1">
      <x:c r="A12" s="158" t="inlineStr">
        <x:is>
          <x:t xml:space="preserve">Chi phí cố định</x:t>
        </x:is>
      </x:c>
      <x:c r="C12" s="187" t="n">
        <x:f>'3_Giả định'!$B$11</x:f>
        <x:v>160000000</x:v>
      </x:c>
      <x:c r="D12" s="187" t="n">
        <x:f>'3_Giả định'!$B$11</x:f>
        <x:v>160000000</x:v>
      </x:c>
      <x:c r="E12" s="187" t="n">
        <x:f>'3_Giả định'!$B$11</x:f>
        <x:v>160000000</x:v>
      </x:c>
      <x:c r="F12" s="187" t="n">
        <x:f>'3_Giả định'!$B$11</x:f>
        <x:v>160000000</x:v>
      </x:c>
      <x:c r="G12" s="187" t="n">
        <x:f>'3_Giả định'!$B$11</x:f>
        <x:v>160000000</x:v>
      </x:c>
      <x:c r="H12" s="187" t="n">
        <x:f>'3_Giả định'!$B$11</x:f>
        <x:v>160000000</x:v>
      </x:c>
      <x:c r="I12" s="187" t="n">
        <x:f>'3_Giả định'!$B$11</x:f>
        <x:v>160000000</x:v>
      </x:c>
      <x:c r="J12" s="187" t="n">
        <x:f>'3_Giả định'!$B$11</x:f>
        <x:v>160000000</x:v>
      </x:c>
      <x:c r="K12" s="187" t="n">
        <x:f>'3_Giả định'!$B$11</x:f>
        <x:v>160000000</x:v>
      </x:c>
      <x:c r="L12" s="187" t="n">
        <x:f>'3_Giả định'!$B$11</x:f>
        <x:v>160000000</x:v>
      </x:c>
      <x:c r="M12" s="187" t="n">
        <x:f>'3_Giả định'!$B$11</x:f>
        <x:v>160000000</x:v>
      </x:c>
      <x:c r="N12" s="187" t="n">
        <x:f>'3_Giả định'!$B$11</x:f>
        <x:v>160000000</x:v>
      </x:c>
      <x:c r="O12" s="187" t="n">
        <x:f>'3_Giả định'!$B$11</x:f>
        <x:v>160000000</x:v>
      </x:c>
      <x:c r="P12" s="187" t="n">
        <x:f>'3_Giả định'!$B$11</x:f>
        <x:v>160000000</x:v>
      </x:c>
      <x:c r="Q12" s="187" t="n">
        <x:f>'3_Giả định'!$B$11</x:f>
        <x:v>160000000</x:v>
      </x:c>
      <x:c r="R12" s="187" t="n">
        <x:f>'3_Giả định'!$B$11</x:f>
        <x:v>160000000</x:v>
      </x:c>
      <x:c r="S12" s="187" t="n">
        <x:f>'3_Giả định'!$B$11</x:f>
        <x:v>160000000</x:v>
      </x:c>
      <x:c r="T12" s="187" t="n">
        <x:f>'3_Giả định'!$B$11</x:f>
        <x:v>160000000</x:v>
      </x:c>
      <x:c r="U12" s="187" t="n">
        <x:f>'3_Giả định'!$B$11</x:f>
        <x:v>160000000</x:v>
      </x:c>
      <x:c r="V12" s="187" t="n">
        <x:f>'3_Giả định'!$B$11</x:f>
        <x:v>160000000</x:v>
      </x:c>
      <x:c r="W12" s="187" t="n">
        <x:f>'3_Giả định'!$B$11</x:f>
        <x:v>160000000</x:v>
      </x:c>
      <x:c r="X12" s="187" t="n">
        <x:f>'3_Giả định'!$B$11</x:f>
        <x:v>160000000</x:v>
      </x:c>
      <x:c r="Y12" s="187" t="n">
        <x:f>'3_Giả định'!$B$11</x:f>
        <x:v>160000000</x:v>
      </x:c>
      <x:c r="Z12" s="187" t="n">
        <x:f>'3_Giả định'!$B$11</x:f>
        <x:v>160000000</x:v>
      </x:c>
    </x:row>
    <x:row r="13" s="112" customFormat="1" ht="15" customHeight="1">
      <x:c r="A13" s="158" t="inlineStr">
        <x:is>
          <x:t xml:space="preserve">Dòng tiền ròng</x:t>
        </x:is>
      </x:c>
      <x:c r="B13" s="187" t="n">
        <x:f>-'3_Giả định'!$B$12</x:f>
        <x:v>-600000000</x:v>
      </x:c>
      <x:c r="C13" s="187" t="n">
        <x:f>C10-C11-C12</x:f>
        <x:v>-177243956.6</x:v>
      </x:c>
      <x:c r="D13" s="187" t="n">
        <x:f>D10-D11-D12</x:f>
        <x:v>-124567442.89979997</x:v>
      </x:c>
      <x:c r="E13" s="187" t="n">
        <x:f>E10-E11-E12</x:f>
        <x:v>-69136320.9197454</x:v>
      </x:c>
      <x:c r="F13" s="187" t="n">
        <x:f>F10-F11-F12</x:f>
        <x:v>-10690815.151411474</x:v>
      </x:c>
      <x:c r="G13" s="187" t="n">
        <x:f>G10-G11-G12</x:f>
        <x:v>51048567.96945754</x:v>
      </x:c>
      <x:c r="H13" s="187" t="n">
        <x:f>H10-H11-H12</x:f>
        <x:v>116382646.2350055</x:v>
      </x:c>
      <x:c r="I13" s="187" t="n">
        <x:f>I10-I11-I12</x:f>
        <x:v>185635295.55544162</x:v>
      </x:c>
      <x:c r="J13" s="187" t="n">
        <x:f>J10-J11-J12</x:f>
        <x:v>259155321.80572844</x:v>
      </x:c>
      <x:c r="K13" s="187" t="n">
        <x:f>K10-K11-K12</x:f>
        <x:v>337318481.68568015</x:v>
      </x:c>
      <x:c r="L13" s="187" t="n">
        <x:f>L10-L11-L12</x:f>
        <x:v>420529664.5343697</x:v>
      </x:c>
      <x:c r="M13" s="187" t="n">
        <x:f>M10-M11-M12</x:f>
        <x:v>509225247.99448097</x:v>
      </x:c>
      <x:c r="N13" s="187" t="n">
        <x:f>N10-N11-N12</x:f>
        <x:v>603875641.4533721</x:v>
      </x:c>
      <x:c r="O13" s="187" t="n">
        <x:f>O10-O11-O12</x:f>
        <x:v>704988032.3012528</x:v>
      </x:c>
      <x:c r="P13" s="187" t="n">
        <x:f>P10-P11-P12</x:f>
        <x:v>813109351.2496104</x:v>
      </x:c>
      <x:c r="Q13" s="187" t="n">
        <x:f>Q10-Q11-Q12</x:f>
        <x:v>928829474.252002</x:v>
      </x:c>
      <x:c r="R13" s="187" t="n">
        <x:f>R10-R11-R12</x:f>
        <x:v>1052784679.972219</x:v>
      </x:c>
      <x:c r="S13" s="187" t="n">
        <x:f>S10-S11-S12</x:f>
        <x:v>1185661383.259992</x:v>
      </x:c>
      <x:c r="T13" s="187" t="n">
        <x:f>T10-T11-T12</x:f>
        <x:v>1328200166.7307572</x:v>
      </x:c>
      <x:c r="U13" s="187" t="n">
        <x:f>U10-U11-U12</x:f>
        <x:v>1481200134.3133142</x:v>
      </x:c>
      <x:c r="V13" s="187" t="n">
        <x:f>V10-V11-V12</x:f>
        <x:v>1645523612.5378852</x:v>
      </x:c>
      <x:c r="W13" s="187" t="n">
        <x:f>W10-W11-W12</x:f>
        <x:v>1822101227.398476</x:v>
      </x:c>
      <x:c r="X13" s="187" t="n">
        <x:f>X10-X11-X12</x:f>
        <x:v>2011937386.849759</x:v>
      </x:c>
      <x:c r="Y13" s="187" t="n">
        <x:f>Y10-Y11-Y12</x:f>
        <x:v>2216116201.4031415</x:v>
      </x:c>
      <x:c r="Z13" s="187" t="n">
        <x:f>Z10-Z11-Z12</x:f>
        <x:v>2435807877.883449</x:v>
      </x:c>
    </x:row>
    <x:row r="14" s="112" customFormat="1" ht="15" customHeight="1">
      <x:c r="A14" s="158" t="inlineStr">
        <x:is>
          <x:t xml:space="preserve">Tiền mặt cuối kỳ</x:t>
        </x:is>
      </x:c>
      <x:c r="B14" s="187" t="n">
        <x:f>'3_Giả định'!$B$13+B13</x:f>
        <x:v>2400000000</x:v>
      </x:c>
      <x:c r="C14" s="187" t="n">
        <x:f>B14+C13</x:f>
        <x:v>2222756043.4</x:v>
      </x:c>
      <x:c r="D14" s="187" t="n">
        <x:f>C14+D13</x:f>
        <x:v>2098188600.5002</x:v>
      </x:c>
      <x:c r="E14" s="187" t="n">
        <x:f>D14+E13</x:f>
        <x:v>2029052279.5804546</x:v>
      </x:c>
      <x:c r="F14" s="187" t="n">
        <x:f>E14+F13</x:f>
        <x:v>2018361464.429043</x:v>
      </x:c>
      <x:c r="G14" s="187" t="n">
        <x:f>F14+G13</x:f>
        <x:v>2069410032.3985007</x:v>
      </x:c>
      <x:c r="H14" s="187" t="n">
        <x:f>G14+H13</x:f>
        <x:v>2185792678.6335063</x:v>
      </x:c>
      <x:c r="I14" s="187" t="n">
        <x:f>H14+I13</x:f>
        <x:v>2371427974.1889477</x:v>
      </x:c>
      <x:c r="J14" s="187" t="n">
        <x:f>I14+J13</x:f>
        <x:v>2630583295.994676</x:v>
      </x:c>
      <x:c r="K14" s="187" t="n">
        <x:f>J14+K13</x:f>
        <x:v>2967901777.680356</x:v>
      </x:c>
      <x:c r="L14" s="187" t="n">
        <x:f>K14+L13</x:f>
        <x:v>3388431442.2147255</x:v>
      </x:c>
      <x:c r="M14" s="187" t="n">
        <x:f>L14+M13</x:f>
        <x:v>3897656690.2092066</x:v>
      </x:c>
      <x:c r="N14" s="187" t="n">
        <x:f>M14+N13</x:f>
        <x:v>4501532331.662579</x:v>
      </x:c>
      <x:c r="O14" s="187" t="n">
        <x:f>N14+O13</x:f>
        <x:v>5206520363.963831</x:v>
      </x:c>
      <x:c r="P14" s="187" t="n">
        <x:f>O14+P13</x:f>
        <x:v>6019629715.213442</x:v>
      </x:c>
      <x:c r="Q14" s="187" t="n">
        <x:f>P14+Q13</x:f>
        <x:v>6948459189.465444</x:v>
      </x:c>
      <x:c r="R14" s="187" t="n">
        <x:f>Q14+R13</x:f>
        <x:v>8001243869.437662</x:v>
      </x:c>
      <x:c r="S14" s="187" t="n">
        <x:f>R14+S13</x:f>
        <x:v>9186905252.697655</x:v>
      </x:c>
      <x:c r="T14" s="187" t="n">
        <x:f>S14+T13</x:f>
        <x:v>10515105419.428411</x:v>
      </x:c>
      <x:c r="U14" s="187" t="n">
        <x:f>T14+U13</x:f>
        <x:v>11996305553.741726</x:v>
      </x:c>
      <x:c r="V14" s="187" t="n">
        <x:f>U14+V13</x:f>
        <x:v>13641829166.279612</x:v>
      </x:c>
      <x:c r="W14" s="187" t="n">
        <x:f>V14+W13</x:f>
        <x:v>15463930393.678087</x:v>
      </x:c>
      <x:c r="X14" s="187" t="n">
        <x:f>W14+X13</x:f>
        <x:v>17475867780.527847</x:v>
      </x:c>
      <x:c r="Y14" s="187" t="n">
        <x:f>X14+Y13</x:f>
        <x:v>19691983981.93099</x:v>
      </x:c>
      <x:c r="Z14" s="187" t="n">
        <x:f>Y14+Z13</x:f>
        <x:v>22127791859.814438</x:v>
      </x:c>
    </x:row>
    <x:row r="15" s="112" customFormat="1" ht="15" customHeight="1">
      <x:c r="A15" s="158" t="inlineStr">
        <x:is>
          <x:t xml:space="preserve">Dòng tiền lũy kế của dự án</x:t>
        </x:is>
      </x:c>
      <x:c r="B15" s="187" t="n">
        <x:f>B13</x:f>
        <x:v>-600000000</x:v>
      </x:c>
      <x:c r="C15" s="187" t="n">
        <x:f>B15+C13</x:f>
        <x:v>-777243956.6</x:v>
      </x:c>
      <x:c r="D15" s="187" t="n">
        <x:f>C15+D13</x:f>
        <x:v>-901811399.4998</x:v>
      </x:c>
      <x:c r="E15" s="187" t="n">
        <x:f>D15+E13</x:f>
        <x:v>-970947720.4195454</x:v>
      </x:c>
      <x:c r="F15" s="187" t="n">
        <x:f>E15+F13</x:f>
        <x:v>-981638535.570957</x:v>
      </x:c>
      <x:c r="G15" s="187" t="n">
        <x:f>F15+G13</x:f>
        <x:v>-930589967.6014994</x:v>
      </x:c>
      <x:c r="H15" s="187" t="n">
        <x:f>G15+H13</x:f>
        <x:v>-814207321.3664939</x:v>
      </x:c>
      <x:c r="I15" s="187" t="n">
        <x:f>H15+I13</x:f>
        <x:v>-628572025.8110523</x:v>
      </x:c>
      <x:c r="J15" s="187" t="n">
        <x:f>I15+J13</x:f>
        <x:v>-369416704.0053239</x:v>
      </x:c>
      <x:c r="K15" s="187" t="n">
        <x:f>J15+K13</x:f>
        <x:v>-32098222.319643736</x:v>
      </x:c>
      <x:c r="L15" s="187" t="n">
        <x:f>K15+L13</x:f>
        <x:v>388431442.214726</x:v>
      </x:c>
      <x:c r="M15" s="187" t="n">
        <x:f>L15+M13</x:f>
        <x:v>897656690.2092069</x:v>
      </x:c>
      <x:c r="N15" s="187" t="n">
        <x:f>M15+N13</x:f>
        <x:v>1501532331.662579</x:v>
      </x:c>
      <x:c r="O15" s="187" t="n">
        <x:f>N15+O13</x:f>
        <x:v>2206520363.963832</x:v>
      </x:c>
      <x:c r="P15" s="187" t="n">
        <x:f>O15+P13</x:f>
        <x:v>3019629715.2134423</x:v>
      </x:c>
      <x:c r="Q15" s="187" t="n">
        <x:f>P15+Q13</x:f>
        <x:v>3948459189.4654446</x:v>
      </x:c>
      <x:c r="R15" s="187" t="n">
        <x:f>Q15+R13</x:f>
        <x:v>5001243869.437664</x:v>
      </x:c>
      <x:c r="S15" s="187" t="n">
        <x:f>R15+S13</x:f>
        <x:v>6186905252.697656</x:v>
      </x:c>
      <x:c r="T15" s="187" t="n">
        <x:f>S15+T13</x:f>
        <x:v>7515105419.428413</x:v>
      </x:c>
      <x:c r="U15" s="187" t="n">
        <x:f>T15+U13</x:f>
        <x:v>8996305553.741728</x:v>
      </x:c>
      <x:c r="V15" s="187" t="n">
        <x:f>U15+V13</x:f>
        <x:v>10641829166.279613</x:v>
      </x:c>
      <x:c r="W15" s="187" t="n">
        <x:f>V15+W13</x:f>
        <x:v>12463930393.67809</x:v>
      </x:c>
      <x:c r="X15" s="187" t="n">
        <x:f>W15+X13</x:f>
        <x:v>14475867780.527847</x:v>
      </x:c>
      <x:c r="Y15" s="187" t="n">
        <x:f>X15+Y13</x:f>
        <x:v>16691983981.930988</x:v>
      </x:c>
      <x:c r="Z15" s="187" t="n">
        <x:f>Y15+Z13</x:f>
        <x:v>19127791859.814438</x:v>
      </x:c>
    </x:row>
    <x:row r="17" s="112" customFormat="1" ht="15" customHeight="1">
      <x:c r="A17" s="185" t="inlineStr">
        <x:is>
          <x:t xml:space="preserve">CƠ SỞ</x:t>
        </x:is>
      </x:c>
    </x:row>
    <x:row r="18" s="112" customFormat="1" ht="15" customHeight="1">
      <x:c r="A18" s="158" t="inlineStr">
        <x:is>
          <x:t xml:space="preserve">Khách mới</x:t>
        </x:is>
      </x:c>
      <x:c r="C18" s="186" t="n">
        <x:f>'3_Giả định'!$C$7*(1+'3_Giả định'!$C$8)^0</x:f>
        <x:v>10</x:v>
      </x:c>
      <x:c r="D18" s="186" t="n">
        <x:f>'3_Giả định'!$C$7*(1+'3_Giả định'!$C$8)^1</x:f>
        <x:v>10.5</x:v>
      </x:c>
      <x:c r="E18" s="186" t="n">
        <x:f>'3_Giả định'!$C$7*(1+'3_Giả định'!$C$8)^2</x:f>
        <x:v>11.025</x:v>
      </x:c>
      <x:c r="F18" s="186" t="n">
        <x:f>'3_Giả định'!$C$7*(1+'3_Giả định'!$C$8)^3</x:f>
        <x:v>11.576250000000002</x:v>
      </x:c>
      <x:c r="G18" s="186" t="n">
        <x:f>'3_Giả định'!$C$7*(1+'3_Giả định'!$C$8)^4</x:f>
        <x:v>12.155062500000003</x:v>
      </x:c>
      <x:c r="H18" s="186" t="n">
        <x:f>'3_Giả định'!$C$7*(1+'3_Giả định'!$C$8)^5</x:f>
        <x:v>12.762815625000004</x:v>
      </x:c>
      <x:c r="I18" s="186" t="n">
        <x:f>'3_Giả định'!$C$7*(1+'3_Giả định'!$C$8)^6</x:f>
        <x:v>13.400956406250003</x:v>
      </x:c>
      <x:c r="J18" s="186" t="n">
        <x:f>'3_Giả định'!$C$7*(1+'3_Giả định'!$C$8)^7</x:f>
        <x:v>14.071004226562504</x:v>
      </x:c>
      <x:c r="K18" s="186" t="n">
        <x:f>'3_Giả định'!$C$7*(1+'3_Giả định'!$C$8)^8</x:f>
        <x:v>14.77455443789063</x:v>
      </x:c>
      <x:c r="L18" s="186" t="n">
        <x:f>'3_Giả định'!$C$7*(1+'3_Giả định'!$C$8)^9</x:f>
        <x:v>15.513282159785163</x:v>
      </x:c>
      <x:c r="M18" s="186" t="n">
        <x:f>'3_Giả định'!$C$7*(1+'3_Giả định'!$C$8)^10</x:f>
        <x:v>16.28894626777442</x:v>
      </x:c>
      <x:c r="N18" s="186" t="n">
        <x:f>'3_Giả định'!$C$7*(1+'3_Giả định'!$C$8)^11</x:f>
        <x:v>17.103393581163143</x:v>
      </x:c>
      <x:c r="O18" s="186" t="n">
        <x:f>'3_Giả định'!$C$7*(1+'3_Giả định'!$C$8)^12</x:f>
        <x:v>17.9585632602213</x:v>
      </x:c>
      <x:c r="P18" s="186" t="n">
        <x:f>'3_Giả định'!$C$7*(1+'3_Giả định'!$C$8)^13</x:f>
        <x:v>18.856491423232367</x:v>
      </x:c>
      <x:c r="Q18" s="186" t="n">
        <x:f>'3_Giả định'!$C$7*(1+'3_Giả định'!$C$8)^14</x:f>
        <x:v>19.799315994393986</x:v>
      </x:c>
      <x:c r="R18" s="186" t="n">
        <x:f>'3_Giả định'!$C$7*(1+'3_Giả định'!$C$8)^15</x:f>
        <x:v>20.789281794113688</x:v>
      </x:c>
      <x:c r="S18" s="186" t="n">
        <x:f>'3_Giả định'!$C$7*(1+'3_Giả định'!$C$8)^16</x:f>
        <x:v>21.82874588381937</x:v>
      </x:c>
      <x:c r="T18" s="186" t="n">
        <x:f>'3_Giả định'!$C$7*(1+'3_Giả định'!$C$8)^17</x:f>
        <x:v>22.92018317801034</x:v>
      </x:c>
      <x:c r="U18" s="186" t="n">
        <x:f>'3_Giả định'!$C$7*(1+'3_Giả định'!$C$8)^18</x:f>
        <x:v>24.066192336910856</x:v>
      </x:c>
      <x:c r="V18" s="186" t="n">
        <x:f>'3_Giả định'!$C$7*(1+'3_Giả định'!$C$8)^19</x:f>
        <x:v>25.269501953756404</x:v>
      </x:c>
      <x:c r="W18" s="186" t="n">
        <x:f>'3_Giả định'!$C$7*(1+'3_Giả định'!$C$8)^20</x:f>
        <x:v>26.53297705144422</x:v>
      </x:c>
      <x:c r="X18" s="186" t="n">
        <x:f>'3_Giả định'!$C$7*(1+'3_Giả định'!$C$8)^21</x:f>
        <x:v>27.859625904016436</x:v>
      </x:c>
      <x:c r="Y18" s="186" t="n">
        <x:f>'3_Giả định'!$C$7*(1+'3_Giả định'!$C$8)^22</x:f>
        <x:v>29.25260719921726</x:v>
      </x:c>
      <x:c r="Z18" s="186" t="n">
        <x:f>'3_Giả định'!$C$7*(1+'3_Giả định'!$C$8)^23</x:f>
        <x:v>30.715237559178124</x:v>
      </x:c>
    </x:row>
    <x:row r="19" s="112" customFormat="1" ht="15" customHeight="1">
      <x:c r="A19" s="158" t="inlineStr">
        <x:is>
          <x:t xml:space="preserve">Khách đang dùng</x:t>
        </x:is>
      </x:c>
      <x:c r="B19" s="111" t="n">
        <x:v>0</x:v>
      </x:c>
      <x:c r="C19" s="186" t="n">
        <x:f>B19*(1-'3_Giả định'!$C$9)+C18</x:f>
        <x:v>10</x:v>
      </x:c>
      <x:c r="D19" s="186" t="n">
        <x:f>C19*(1-'3_Giả định'!$C$9)+D18</x:f>
        <x:v>20.049999999999997</x:v>
      </x:c>
      <x:c r="E19" s="186" t="n">
        <x:f>D19*(1-'3_Giả định'!$C$9)+E18</x:f>
        <x:v>30.172749999999994</x:v>
      </x:c>
      <x:c r="F19" s="186" t="n">
        <x:f>E19*(1-'3_Giả định'!$C$9)+F18</x:f>
        <x:v>40.391226249999995</x:v>
      </x:c>
      <x:c r="G19" s="186" t="n">
        <x:f>F19*(1-'3_Giả định'!$C$9)+G18</x:f>
        <x:v>50.72868356875</x:v>
      </x:c>
      <x:c r="H19" s="186" t="n">
        <x:f>G19*(1-'3_Giả định'!$C$9)+H18</x:f>
        <x:v>61.20870843315625</x:v>
      </x:c>
      <x:c r="I19" s="186" t="n">
        <x:f>H19*(1-'3_Giả định'!$C$9)+I18</x:f>
        <x:v>71.85527295991422</x:v>
      </x:c>
      <x:c r="J19" s="186" t="n">
        <x:f>I19*(1-'3_Giả định'!$C$9)+J18</x:f>
        <x:v>82.69278990328058</x:v>
      </x:c>
      <x:c r="K19" s="186" t="n">
        <x:f>J19*(1-'3_Giả định'!$C$9)+K18</x:f>
        <x:v>93.74616879552359</x:v>
      </x:c>
      <x:c r="L19" s="186" t="n">
        <x:f>K19*(1-'3_Giả định'!$C$9)+L18</x:f>
        <x:v>105.04087335951019</x:v>
      </x:c>
      <x:c r="M19" s="186" t="n">
        <x:f>L19*(1-'3_Giả định'!$C$9)+M18</x:f>
        <x:v>116.60298032610665</x:v>
      </x:c>
      <x:c r="N19" s="186" t="n">
        <x:f>M19*(1-'3_Giả định'!$C$9)+N18</x:f>
        <x:v>128.45923979259499</x:v>
      </x:c>
      <x:c r="O19" s="186" t="n">
        <x:f>N19*(1-'3_Giả định'!$C$9)+O18</x:f>
        <x:v>140.6371372621495</x:v>
      </x:c>
      <x:c r="P19" s="186" t="n">
        <x:f>O19*(1-'3_Giả định'!$C$9)+P18</x:f>
        <x:v>153.16495750858513</x:v>
      </x:c>
      <x:c r="Q19" s="186" t="n">
        <x:f>P19*(1-'3_Giả định'!$C$9)+Q18</x:f>
        <x:v>166.0718504150928</x:v>
      </x:c>
      <x:c r="R19" s="186" t="n">
        <x:f>Q19*(1-'3_Giả định'!$C$9)+R18</x:f>
        <x:v>179.3878989405273</x:v>
      </x:c>
      <x:c r="S19" s="186" t="n">
        <x:f>R19*(1-'3_Giả định'!$C$9)+S18</x:f>
        <x:v>193.14418937202294</x:v>
      </x:c>
      <x:c r="T19" s="186" t="n">
        <x:f>S19*(1-'3_Giả định'!$C$9)+T18</x:f>
        <x:v>207.37288402829225</x:v>
      </x:c>
      <x:c r="U19" s="186" t="n">
        <x:f>T19*(1-'3_Giả định'!$C$9)+U18</x:f>
        <x:v>222.10729658392995</x:v>
      </x:c>
      <x:c r="V19" s="186" t="n">
        <x:f>U19*(1-'3_Giả định'!$C$9)+V18</x:f>
        <x:v>237.3819701914095</x:v>
      </x:c>
      <x:c r="W19" s="186" t="n">
        <x:f>V19*(1-'3_Giả định'!$C$9)+W18</x:f>
        <x:v>253.2327585842403</x:v>
      </x:c>
      <x:c r="X19" s="186" t="n">
        <x:f>W19*(1-'3_Giả định'!$C$9)+X18</x:f>
        <x:v>269.69691035196587</x:v>
      </x:c>
      <x:c r="Y19" s="186" t="n">
        <x:f>X19*(1-'3_Giả định'!$C$9)+Y18</x:f>
        <x:v>286.81315658534464</x:v>
      </x:c>
      <x:c r="Z19" s="186" t="n">
        <x:f>Y19*(1-'3_Giả định'!$C$9)+Z18</x:f>
        <x:v>304.6218020981823</x:v>
      </x:c>
    </x:row>
    <x:row r="20" s="112" customFormat="1" ht="15" customHeight="1">
      <x:c r="A20" s="158" t="inlineStr">
        <x:is>
          <x:t xml:space="preserve">Doanh thu</x:t>
        </x:is>
      </x:c>
      <x:c r="C20" s="187" t="n">
        <x:f>C19*'3_Giả định'!$C$17</x:f>
        <x:v>52100000</x:v>
      </x:c>
      <x:c r="D20" s="187" t="n">
        <x:f>D19*'3_Giả định'!$C$17</x:f>
        <x:v>104460499.99999999</x:v>
      </x:c>
      <x:c r="E20" s="187" t="n">
        <x:f>E19*'3_Giả định'!$C$17</x:f>
        <x:v>157200027.49999997</x:v>
      </x:c>
      <x:c r="F20" s="187" t="n">
        <x:f>F19*'3_Giả định'!$C$17</x:f>
        <x:v>210438288.7625</x:v>
      </x:c>
      <x:c r="G20" s="187" t="n">
        <x:f>G19*'3_Giả định'!$C$17</x:f>
        <x:v>264296441.3931875</x:v>
      </x:c>
      <x:c r="H20" s="187" t="n">
        <x:f>H19*'3_Giả định'!$C$17</x:f>
        <x:v>318897370.93674403</x:v>
      </x:c>
      <x:c r="I20" s="187" t="n">
        <x:f>I19*'3_Giả định'!$C$17</x:f>
        <x:v>374365972.12115306</x:v>
      </x:c>
      <x:c r="J20" s="187" t="n">
        <x:f>J19*'3_Giả định'!$C$17</x:f>
        <x:v>430829435.3960918</x:v>
      </x:c>
      <x:c r="K20" s="187" t="n">
        <x:f>K19*'3_Giả định'!$C$17</x:f>
        <x:v>488417539.4246779</x:v>
      </x:c>
      <x:c r="L20" s="187" t="n">
        <x:f>L19*'3_Giả định'!$C$17</x:f>
        <x:v>547262950.2030481</x:v>
      </x:c>
      <x:c r="M20" s="187" t="n">
        <x:f>M19*'3_Giả định'!$C$17</x:f>
        <x:v>607501527.4990156</x:v>
      </x:c>
      <x:c r="N20" s="187" t="n">
        <x:f>N19*'3_Giả định'!$C$17</x:f>
        <x:v>669272639.3194199</x:v>
      </x:c>
      <x:c r="O20" s="187" t="n">
        <x:f>O19*'3_Giả định'!$C$17</x:f>
        <x:v>732719485.1357989</x:v>
      </x:c>
      <x:c r="P20" s="187" t="n">
        <x:f>P19*'3_Giả định'!$C$17</x:f>
        <x:v>797989428.6197286</x:v>
      </x:c>
      <x:c r="Q20" s="187" t="n">
        <x:f>Q19*'3_Giả định'!$C$17</x:f>
        <x:v>865234340.6626334</x:v>
      </x:c>
      <x:c r="R20" s="187" t="n">
        <x:f>R19*'3_Giả định'!$C$17</x:f>
        <x:v>934610953.4801472</x:v>
      </x:c>
      <x:c r="S20" s="187" t="n">
        <x:f>S19*'3_Giả định'!$C$17</x:f>
        <x:v>1006281226.6282395</x:v>
      </x:c>
      <x:c r="T20" s="187" t="n">
        <x:f>T19*'3_Giả định'!$C$17</x:f>
        <x:v>1080412725.7874026</x:v>
      </x:c>
      <x:c r="U20" s="187" t="n">
        <x:f>U19*'3_Giả định'!$C$17</x:f>
        <x:v>1157179015.202275</x:v>
      </x:c>
      <x:c r="V20" s="187" t="n">
        <x:f>V19*'3_Giả định'!$C$17</x:f>
        <x:v>1236760064.6972435</x:v>
      </x:c>
      <x:c r="W20" s="187" t="n">
        <x:f>W19*'3_Giả định'!$C$17</x:f>
        <x:v>1319342672.223892</x:v>
      </x:c>
      <x:c r="X20" s="187" t="n">
        <x:f>X19*'3_Giả định'!$C$17</x:f>
        <x:v>1405120902.9337423</x:v>
      </x:c>
      <x:c r="Y20" s="187" t="n">
        <x:f>Y19*'3_Giả định'!$C$17</x:f>
        <x:v>1494296545.8096457</x:v>
      </x:c>
      <x:c r="Z20" s="187" t="n">
        <x:f>Z19*'3_Giả định'!$C$17</x:f>
        <x:v>1587079588.9315298</x:v>
      </x:c>
    </x:row>
    <x:row r="21" s="112" customFormat="1" ht="15" customHeight="1">
      <x:c r="A21" s="158" t="inlineStr">
        <x:is>
          <x:t xml:space="preserve">Chi phí AI (giá vốn)</x:t>
        </x:is>
      </x:c>
      <x:c r="C21" s="187" t="n">
        <x:f>C19*'3_Giả định'!$C$18</x:f>
        <x:v>16193980.000000002</x:v>
      </x:c>
      <x:c r="D21" s="187" t="n">
        <x:f>D19*'3_Giả định'!$C$18</x:f>
        <x:v>32468929.9</x:v>
      </x:c>
      <x:c r="E21" s="187" t="n">
        <x:f>E19*'3_Giả định'!$C$18</x:f>
        <x:v>48861691.004499994</x:v>
      </x:c>
      <x:c r="F21" s="187" t="n">
        <x:f>F19*'3_Giả định'!$C$18</x:f>
        <x:v>65409471.0067975</x:v>
      </x:c>
      <x:c r="G21" s="187" t="n">
        <x:f>G19*'3_Giả định'!$C$18</x:f>
        <x:v>82149928.71386662</x:v>
      </x:c>
      <x:c r="H21" s="187" t="n">
        <x:f>H19*'3_Giả định'!$C$18</x:f>
        <x:v>99121260.01923637</x:v>
      </x:c>
      <x:c r="I21" s="187" t="n">
        <x:f>I19*'3_Giả định'!$C$18</x:f>
        <x:v>116362285.32073918</x:v>
      </x:c>
      <x:c r="J21" s="187" t="n">
        <x:f>J19*'3_Giả định'!$C$18</x:f>
        <x:v>133912538.58379279</x:v>
      </x:c>
      <x:c r="K21" s="187" t="n">
        <x:f>K19*'3_Giả định'!$C$18</x:f>
        <x:v>151812358.25513333</x:v>
      </x:c>
      <x:c r="L21" s="187" t="n">
        <x:f>L19*'3_Giả định'!$C$18</x:f>
        <x:v>170102980.2366441</x:v>
      </x:c>
      <x:c r="M21" s="187" t="n">
        <x:f>M19*'3_Giả định'!$C$18</x:f>
        <x:v>188826633.13413647</x:v>
      </x:c>
      <x:c r="N21" s="187" t="n">
        <x:f>N19*'3_Giả định'!$C$18</x:f>
        <x:v>208026636.00164875</x:v>
      </x:c>
      <x:c r="O21" s="187" t="n">
        <x:f>O19*'3_Giả định'!$C$18</x:f>
        <x:v>227747498.80805042</x:v>
      </x:c>
      <x:c r="P21" s="187" t="n">
        <x:f>P19*'3_Giả định'!$C$18</x:f>
        <x:v>248035025.85948777</x:v>
      </x:c>
      <x:c r="Q21" s="187" t="n">
        <x:f>Q19*'3_Giả định'!$C$18</x:f>
        <x:v>268936422.4185005</x:v>
      </x:c>
      <x:c r="R21" s="187" t="n">
        <x:f>R19*'3_Giả định'!$C$18</x:f>
        <x:v>290500404.76849204</x:v>
      </x:c>
      <x:c r="S21" s="187" t="n">
        <x:f>S19*'3_Giả định'!$C$18</x:f>
        <x:v>312777313.9806752</x:v>
      </x:c>
      <x:c r="T21" s="187" t="n">
        <x:f>T19*'3_Giả định'!$C$18</x:f>
        <x:v>335819233.6496484</x:v>
      </x:c>
      <x:c r="U21" s="187" t="n">
        <x:f>U19*'3_Giả định'!$C$18</x:f>
        <x:v>359680111.87342304</x:v>
      </x:c>
      <x:c r="V21" s="187" t="n">
        <x:f>V19*'3_Giả định'!$C$18</x:f>
        <x:v>384415887.7640282</x:v>
      </x:c>
      <x:c r="W21" s="187" t="n">
        <x:f>W19*'3_Giả định'!$C$18</x:f>
        <x:v>410084622.7858016</x:v>
      </x:c>
      <x:c r="X21" s="187" t="n">
        <x:f>X19*'3_Giả định'!$C$18</x:f>
        <x:v>436746637.2301529</x:v>
      </x:c>
      <x:c r="Y21" s="187" t="n">
        <x:f>Y19*'3_Giả định'!$C$18</x:f>
        <x:v>464464652.147994</x:v>
      </x:c>
      <x:c r="Z21" s="187" t="n">
        <x:f>Z19*'3_Giả định'!$C$18</x:f>
        <x:v>493303937.0741923</x:v>
      </x:c>
    </x:row>
    <x:row r="22" s="112" customFormat="1" ht="15" customHeight="1">
      <x:c r="A22" s="158" t="inlineStr">
        <x:is>
          <x:t xml:space="preserve">Lợi nhuận gộp</x:t>
        </x:is>
      </x:c>
      <x:c r="C22" s="187" t="n">
        <x:f>C20-C21</x:f>
        <x:v>35906020</x:v>
      </x:c>
      <x:c r="D22" s="187" t="n">
        <x:f>D20-D21</x:f>
        <x:v>71991570.1</x:v>
      </x:c>
      <x:c r="E22" s="187" t="n">
        <x:f>E20-E21</x:f>
        <x:v>108338336.49549997</x:v>
      </x:c>
      <x:c r="F22" s="187" t="n">
        <x:f>F20-F21</x:f>
        <x:v>145028817.7557025</x:v>
      </x:c>
      <x:c r="G22" s="187" t="n">
        <x:f>G20-G21</x:f>
        <x:v>182146512.67932087</x:v>
      </x:c>
      <x:c r="H22" s="187" t="n">
        <x:f>H20-H21</x:f>
        <x:v>219776110.91750765</x:v>
      </x:c>
      <x:c r="I22" s="187" t="n">
        <x:f>I20-I21</x:f>
        <x:v>258003686.80041388</x:v>
      </x:c>
      <x:c r="J22" s="187" t="n">
        <x:f>J20-J21</x:f>
        <x:v>296916896.812299</x:v>
      </x:c>
      <x:c r="K22" s="187" t="n">
        <x:f>K20-K21</x:f>
        <x:v>336605181.1695446</x:v>
      </x:c>
      <x:c r="L22" s="187" t="n">
        <x:f>L20-L21</x:f>
        <x:v>377159969.966404</x:v>
      </x:c>
      <x:c r="M22" s="187" t="n">
        <x:f>M20-M21</x:f>
        <x:v>418674894.36487913</x:v>
      </x:c>
      <x:c r="N22" s="187" t="n">
        <x:f>N20-N21</x:f>
        <x:v>461246003.3177711</x:v>
      </x:c>
      <x:c r="O22" s="187" t="n">
        <x:f>O20-O21</x:f>
        <x:v>504971986.32774854</x:v>
      </x:c>
      <x:c r="P22" s="187" t="n">
        <x:f>P20-P21</x:f>
        <x:v>549954402.7602408</x:v>
      </x:c>
      <x:c r="Q22" s="187" t="n">
        <x:f>Q20-Q21</x:f>
        <x:v>596297918.244133</x:v>
      </x:c>
      <x:c r="R22" s="187" t="n">
        <x:f>R20-R21</x:f>
        <x:v>644110548.7116551</x:v>
      </x:c>
      <x:c r="S22" s="187" t="n">
        <x:f>S20-S21</x:f>
        <x:v>693503912.6475643</x:v>
      </x:c>
      <x:c r="T22" s="187" t="n">
        <x:f>T20-T21</x:f>
        <x:v>744593492.1377542</x:v>
      </x:c>
      <x:c r="U22" s="187" t="n">
        <x:f>U20-U21</x:f>
        <x:v>797498903.3288519</x:v>
      </x:c>
      <x:c r="V22" s="187" t="n">
        <x:f>V20-V21</x:f>
        <x:v>852344176.9332153</x:v>
      </x:c>
      <x:c r="W22" s="187" t="n">
        <x:f>W20-W21</x:f>
        <x:v>909258049.4380903</x:v>
      </x:c>
      <x:c r="X22" s="187" t="n">
        <x:f>X20-X21</x:f>
        <x:v>968374265.7035894</x:v>
      </x:c>
      <x:c r="Y22" s="187" t="n">
        <x:f>Y20-Y21</x:f>
        <x:v>1029831893.6616516</x:v>
      </x:c>
      <x:c r="Z22" s="187" t="n">
        <x:f>Z20-Z21</x:f>
        <x:v>1093775651.8573375</x:v>
      </x:c>
    </x:row>
    <x:row r="23" s="112" customFormat="1" ht="15" customHeight="1">
      <x:c r="A23" s="158" t="inlineStr">
        <x:is>
          <x:t xml:space="preserve">Chi phí bán hàng (chi phí có khách × khách mới)</x:t>
        </x:is>
      </x:c>
      <x:c r="C23" s="187" t="n">
        <x:f>C18*'3_Giả định'!$C$10</x:f>
        <x:v>70000000</x:v>
      </x:c>
      <x:c r="D23" s="187" t="n">
        <x:f>D18*'3_Giả định'!$C$10</x:f>
        <x:v>73500000</x:v>
      </x:c>
      <x:c r="E23" s="187" t="n">
        <x:f>E18*'3_Giả định'!$C$10</x:f>
        <x:v>77175000</x:v>
      </x:c>
      <x:c r="F23" s="187" t="n">
        <x:f>F18*'3_Giả định'!$C$10</x:f>
        <x:v>81033750.00000001</x:v>
      </x:c>
      <x:c r="G23" s="187" t="n">
        <x:f>G18*'3_Giả định'!$C$10</x:f>
        <x:v>85085437.50000003</x:v>
      </x:c>
      <x:c r="H23" s="187" t="n">
        <x:f>H18*'3_Giả định'!$C$10</x:f>
        <x:v>89339709.37500003</x:v>
      </x:c>
      <x:c r="I23" s="187" t="n">
        <x:f>I18*'3_Giả định'!$C$10</x:f>
        <x:v>93806694.84375003</x:v>
      </x:c>
      <x:c r="J23" s="187" t="n">
        <x:f>J18*'3_Giả định'!$C$10</x:f>
        <x:v>98497029.58593753</x:v>
      </x:c>
      <x:c r="K23" s="187" t="n">
        <x:f>K18*'3_Giả định'!$C$10</x:f>
        <x:v>103421881.06523441</x:v>
      </x:c>
      <x:c r="L23" s="187" t="n">
        <x:f>L18*'3_Giả định'!$C$10</x:f>
        <x:v>108592975.11849613</x:v>
      </x:c>
      <x:c r="M23" s="187" t="n">
        <x:f>M18*'3_Giả định'!$C$10</x:f>
        <x:v>114022623.87442094</x:v>
      </x:c>
      <x:c r="N23" s="187" t="n">
        <x:f>N18*'3_Giả định'!$C$10</x:f>
        <x:v>119723755.068142</x:v>
      </x:c>
      <x:c r="O23" s="187" t="n">
        <x:f>O18*'3_Giả định'!$C$10</x:f>
        <x:v>125709942.8215491</x:v>
      </x:c>
      <x:c r="P23" s="187" t="n">
        <x:f>P18*'3_Giả định'!$C$10</x:f>
        <x:v>131995439.96262656</x:v>
      </x:c>
      <x:c r="Q23" s="187" t="n">
        <x:f>Q18*'3_Giả định'!$C$10</x:f>
        <x:v>138595211.9607579</x:v>
      </x:c>
      <x:c r="R23" s="187" t="n">
        <x:f>R18*'3_Giả định'!$C$10</x:f>
        <x:v>145524972.5587958</x:v>
      </x:c>
      <x:c r="S23" s="187" t="n">
        <x:f>S18*'3_Giả định'!$C$10</x:f>
        <x:v>152801221.18673557</x:v>
      </x:c>
      <x:c r="T23" s="187" t="n">
        <x:f>T18*'3_Giả định'!$C$10</x:f>
        <x:v>160441282.24607238</x:v>
      </x:c>
      <x:c r="U23" s="187" t="n">
        <x:f>U18*'3_Giả định'!$C$10</x:f>
        <x:v>168463346.358376</x:v>
      </x:c>
      <x:c r="V23" s="187" t="n">
        <x:f>V18*'3_Giả định'!$C$10</x:f>
        <x:v>176886513.67629483</x:v>
      </x:c>
      <x:c r="W23" s="187" t="n">
        <x:f>W18*'3_Giả định'!$C$10</x:f>
        <x:v>185730839.36010954</x:v>
      </x:c>
      <x:c r="X23" s="187" t="n">
        <x:f>X18*'3_Giả định'!$C$10</x:f>
        <x:v>195017381.32811505</x:v>
      </x:c>
      <x:c r="Y23" s="187" t="n">
        <x:f>Y18*'3_Giả định'!$C$10</x:f>
        <x:v>204768250.39452082</x:v>
      </x:c>
      <x:c r="Z23" s="187" t="n">
        <x:f>Z18*'3_Giả định'!$C$10</x:f>
        <x:v>215006662.91424686</x:v>
      </x:c>
    </x:row>
    <x:row r="24" s="112" customFormat="1" ht="15" customHeight="1">
      <x:c r="A24" s="158" t="inlineStr">
        <x:is>
          <x:t xml:space="preserve">Chi phí cố định</x:t>
        </x:is>
      </x:c>
      <x:c r="C24" s="187" t="n">
        <x:f>'3_Giả định'!$C$11</x:f>
        <x:v>160000000</x:v>
      </x:c>
      <x:c r="D24" s="187" t="n">
        <x:f>'3_Giả định'!$C$11</x:f>
        <x:v>160000000</x:v>
      </x:c>
      <x:c r="E24" s="187" t="n">
        <x:f>'3_Giả định'!$C$11</x:f>
        <x:v>160000000</x:v>
      </x:c>
      <x:c r="F24" s="187" t="n">
        <x:f>'3_Giả định'!$C$11</x:f>
        <x:v>160000000</x:v>
      </x:c>
      <x:c r="G24" s="187" t="n">
        <x:f>'3_Giả định'!$C$11</x:f>
        <x:v>160000000</x:v>
      </x:c>
      <x:c r="H24" s="187" t="n">
        <x:f>'3_Giả định'!$C$11</x:f>
        <x:v>160000000</x:v>
      </x:c>
      <x:c r="I24" s="187" t="n">
        <x:f>'3_Giả định'!$C$11</x:f>
        <x:v>160000000</x:v>
      </x:c>
      <x:c r="J24" s="187" t="n">
        <x:f>'3_Giả định'!$C$11</x:f>
        <x:v>160000000</x:v>
      </x:c>
      <x:c r="K24" s="187" t="n">
        <x:f>'3_Giả định'!$C$11</x:f>
        <x:v>160000000</x:v>
      </x:c>
      <x:c r="L24" s="187" t="n">
        <x:f>'3_Giả định'!$C$11</x:f>
        <x:v>160000000</x:v>
      </x:c>
      <x:c r="M24" s="187" t="n">
        <x:f>'3_Giả định'!$C$11</x:f>
        <x:v>160000000</x:v>
      </x:c>
      <x:c r="N24" s="187" t="n">
        <x:f>'3_Giả định'!$C$11</x:f>
        <x:v>160000000</x:v>
      </x:c>
      <x:c r="O24" s="187" t="n">
        <x:f>'3_Giả định'!$C$11</x:f>
        <x:v>160000000</x:v>
      </x:c>
      <x:c r="P24" s="187" t="n">
        <x:f>'3_Giả định'!$C$11</x:f>
        <x:v>160000000</x:v>
      </x:c>
      <x:c r="Q24" s="187" t="n">
        <x:f>'3_Giả định'!$C$11</x:f>
        <x:v>160000000</x:v>
      </x:c>
      <x:c r="R24" s="187" t="n">
        <x:f>'3_Giả định'!$C$11</x:f>
        <x:v>160000000</x:v>
      </x:c>
      <x:c r="S24" s="187" t="n">
        <x:f>'3_Giả định'!$C$11</x:f>
        <x:v>160000000</x:v>
      </x:c>
      <x:c r="T24" s="187" t="n">
        <x:f>'3_Giả định'!$C$11</x:f>
        <x:v>160000000</x:v>
      </x:c>
      <x:c r="U24" s="187" t="n">
        <x:f>'3_Giả định'!$C$11</x:f>
        <x:v>160000000</x:v>
      </x:c>
      <x:c r="V24" s="187" t="n">
        <x:f>'3_Giả định'!$C$11</x:f>
        <x:v>160000000</x:v>
      </x:c>
      <x:c r="W24" s="187" t="n">
        <x:f>'3_Giả định'!$C$11</x:f>
        <x:v>160000000</x:v>
      </x:c>
      <x:c r="X24" s="187" t="n">
        <x:f>'3_Giả định'!$C$11</x:f>
        <x:v>160000000</x:v>
      </x:c>
      <x:c r="Y24" s="187" t="n">
        <x:f>'3_Giả định'!$C$11</x:f>
        <x:v>160000000</x:v>
      </x:c>
      <x:c r="Z24" s="187" t="n">
        <x:f>'3_Giả định'!$C$11</x:f>
        <x:v>160000000</x:v>
      </x:c>
    </x:row>
    <x:row r="25" s="112" customFormat="1" ht="15" customHeight="1">
      <x:c r="A25" s="158" t="inlineStr">
        <x:is>
          <x:t xml:space="preserve">Dòng tiền ròng</x:t>
        </x:is>
      </x:c>
      <x:c r="B25" s="187" t="n">
        <x:f>-'3_Giả định'!$C$12</x:f>
        <x:v>-600000000</x:v>
      </x:c>
      <x:c r="C25" s="187" t="n">
        <x:f>C22-C23-C24</x:f>
        <x:v>-194093980</x:v>
      </x:c>
      <x:c r="D25" s="187" t="n">
        <x:f>D22-D23-D24</x:f>
        <x:v>-161508429.9</x:v>
      </x:c>
      <x:c r="E25" s="187" t="n">
        <x:f>E22-E23-E24</x:f>
        <x:v>-128836663.50450003</x:v>
      </x:c>
      <x:c r="F25" s="187" t="n">
        <x:f>F22-F23-F24</x:f>
        <x:v>-96004932.24429752</x:v>
      </x:c>
      <x:c r="G25" s="187" t="n">
        <x:f>G22-G23-G24</x:f>
        <x:v>-62938924.82067916</x:v>
      </x:c>
      <x:c r="H25" s="187" t="n">
        <x:f>H22-H23-H24</x:f>
        <x:v>-29563598.45749238</x:v>
      </x:c>
      <x:c r="I25" s="187" t="n">
        <x:f>I22-I23-I24</x:f>
        <x:v>4196991.956663847</x:v>
      </x:c>
      <x:c r="J25" s="187" t="n">
        <x:f>J22-J23-J24</x:f>
        <x:v>38419867.22636148</x:v>
      </x:c>
      <x:c r="K25" s="187" t="n">
        <x:f>K22-K23-K24</x:f>
        <x:v>73183300.10431015</x:v>
      </x:c>
      <x:c r="L25" s="187" t="n">
        <x:f>L22-L23-L24</x:f>
        <x:v>108566994.8479079</x:v>
      </x:c>
      <x:c r="M25" s="187" t="n">
        <x:f>M22-M23-M24</x:f>
        <x:v>144652270.4904582</x:v>
      </x:c>
      <x:c r="N25" s="187" t="n">
        <x:f>N22-N23-N24</x:f>
        <x:v>181522248.24962908</x:v>
      </x:c>
      <x:c r="O25" s="187" t="n">
        <x:f>O22-O23-O24</x:f>
        <x:v>219262043.50619942</x:v>
      </x:c>
      <x:c r="P25" s="187" t="n">
        <x:f>P22-P23-P24</x:f>
        <x:v>257958962.79761422</x:v>
      </x:c>
      <x:c r="Q25" s="187" t="n">
        <x:f>Q22-Q23-Q24</x:f>
        <x:v>297702706.2833751</x:v>
      </x:c>
      <x:c r="R25" s="187" t="n">
        <x:f>R22-R23-R24</x:f>
        <x:v>338585576.15285933</x:v>
      </x:c>
      <x:c r="S25" s="187" t="n">
        <x:f>S22-S23-S24</x:f>
        <x:v>380702691.4608288</x:v>
      </x:c>
      <x:c r="T25" s="187" t="n">
        <x:f>T22-T23-T24</x:f>
        <x:v>424152209.8916818</x:v>
      </x:c>
      <x:c r="U25" s="187" t="n">
        <x:f>U22-U23-U24</x:f>
        <x:v>469035556.9704759</x:v>
      </x:c>
      <x:c r="V25" s="187" t="n">
        <x:f>V22-V23-V24</x:f>
        <x:v>515457663.25692046</x:v>
      </x:c>
      <x:c r="W25" s="187" t="n">
        <x:f>W22-W23-W24</x:f>
        <x:v>563527210.0779808</x:v>
      </x:c>
      <x:c r="X25" s="187" t="n">
        <x:f>X22-X23-X24</x:f>
        <x:v>613356884.3754745</x:v>
      </x:c>
      <x:c r="Y25" s="187" t="n">
        <x:f>Y22-Y23-Y24</x:f>
        <x:v>665063643.2671309</x:v>
      </x:c>
      <x:c r="Z25" s="187" t="n">
        <x:f>Z22-Z23-Z24</x:f>
        <x:v>718768988.9430907</x:v>
      </x:c>
    </x:row>
    <x:row r="26" s="112" customFormat="1" ht="15" customHeight="1">
      <x:c r="A26" s="158" t="inlineStr">
        <x:is>
          <x:t xml:space="preserve">Tiền mặt cuối kỳ</x:t>
        </x:is>
      </x:c>
      <x:c r="B26" s="187" t="n">
        <x:f>'3_Giả định'!$C$13+B25</x:f>
        <x:v>2400000000</x:v>
      </x:c>
      <x:c r="C26" s="187" t="n">
        <x:f>B26+C25</x:f>
        <x:v>2205906020</x:v>
      </x:c>
      <x:c r="D26" s="187" t="n">
        <x:f>C26+D25</x:f>
        <x:v>2044397590.1</x:v>
      </x:c>
      <x:c r="E26" s="187" t="n">
        <x:f>D26+E25</x:f>
        <x:v>1915560926.5955</x:v>
      </x:c>
      <x:c r="F26" s="187" t="n">
        <x:f>E26+F25</x:f>
        <x:v>1819555994.3512025</x:v>
      </x:c>
      <x:c r="G26" s="187" t="n">
        <x:f>F26+G25</x:f>
        <x:v>1756617069.5305233</x:v>
      </x:c>
      <x:c r="H26" s="187" t="n">
        <x:f>G26+H25</x:f>
        <x:v>1727053471.073031</x:v>
      </x:c>
      <x:c r="I26" s="187" t="n">
        <x:f>H26+I25</x:f>
        <x:v>1731250463.0296948</x:v>
      </x:c>
      <x:c r="J26" s="187" t="n">
        <x:f>I26+J25</x:f>
        <x:v>1769670330.2560563</x:v>
      </x:c>
      <x:c r="K26" s="187" t="n">
        <x:f>J26+K25</x:f>
        <x:v>1842853630.3603663</x:v>
      </x:c>
      <x:c r="L26" s="187" t="n">
        <x:f>K26+L25</x:f>
        <x:v>1951420625.2082744</x:v>
      </x:c>
      <x:c r="M26" s="187" t="n">
        <x:f>L26+M25</x:f>
        <x:v>2096072895.6987326</x:v>
      </x:c>
      <x:c r="N26" s="187" t="n">
        <x:f>M26+N25</x:f>
        <x:v>2277595143.948362</x:v>
      </x:c>
      <x:c r="O26" s="187" t="n">
        <x:f>N26+O25</x:f>
        <x:v>2496857187.454561</x:v>
      </x:c>
      <x:c r="P26" s="187" t="n">
        <x:f>O26+P25</x:f>
        <x:v>2754816150.2521753</x:v>
      </x:c>
      <x:c r="Q26" s="187" t="n">
        <x:f>P26+Q25</x:f>
        <x:v>3052518856.5355506</x:v>
      </x:c>
      <x:c r="R26" s="187" t="n">
        <x:f>Q26+R25</x:f>
        <x:v>3391104432.68841</x:v>
      </x:c>
      <x:c r="S26" s="187" t="n">
        <x:f>R26+S25</x:f>
        <x:v>3771807124.1492386</x:v>
      </x:c>
      <x:c r="T26" s="187" t="n">
        <x:f>S26+T25</x:f>
        <x:v>4195959334.0409203</x:v>
      </x:c>
      <x:c r="U26" s="187" t="n">
        <x:f>T26+U25</x:f>
        <x:v>4664994891.011396</x:v>
      </x:c>
      <x:c r="V26" s="187" t="n">
        <x:f>U26+V25</x:f>
        <x:v>5180452554.268317</x:v>
      </x:c>
      <x:c r="W26" s="187" t="n">
        <x:f>V26+W25</x:f>
        <x:v>5743979764.346298</x:v>
      </x:c>
      <x:c r="X26" s="187" t="n">
        <x:f>W26+X25</x:f>
        <x:v>6357336648.721773</x:v>
      </x:c>
      <x:c r="Y26" s="187" t="n">
        <x:f>X26+Y25</x:f>
        <x:v>7022400291.988904</x:v>
      </x:c>
      <x:c r="Z26" s="187" t="n">
        <x:f>Y26+Z25</x:f>
        <x:v>7741169280.931994</x:v>
      </x:c>
    </x:row>
    <x:row r="27" s="112" customFormat="1" ht="15" customHeight="1">
      <x:c r="A27" s="158" t="inlineStr">
        <x:is>
          <x:t xml:space="preserve">Dòng tiền lũy kế của dự án</x:t>
        </x:is>
      </x:c>
      <x:c r="B27" s="187" t="n">
        <x:f>B25</x:f>
        <x:v>-600000000</x:v>
      </x:c>
      <x:c r="C27" s="187" t="n">
        <x:f>B27+C25</x:f>
        <x:v>-794093980</x:v>
      </x:c>
      <x:c r="D27" s="187" t="n">
        <x:f>C27+D25</x:f>
        <x:v>-955602409.9</x:v>
      </x:c>
      <x:c r="E27" s="187" t="n">
        <x:f>D27+E25</x:f>
        <x:v>-1084439073.4045</x:v>
      </x:c>
      <x:c r="F27" s="187" t="n">
        <x:f>E27+F25</x:f>
        <x:v>-1180444005.6487975</x:v>
      </x:c>
      <x:c r="G27" s="187" t="n">
        <x:f>F27+G25</x:f>
        <x:v>-1243382930.4694767</x:v>
      </x:c>
      <x:c r="H27" s="187" t="n">
        <x:f>G27+H25</x:f>
        <x:v>-1272946528.926969</x:v>
      </x:c>
      <x:c r="I27" s="187" t="n">
        <x:f>H27+I25</x:f>
        <x:v>-1268749536.9703052</x:v>
      </x:c>
      <x:c r="J27" s="187" t="n">
        <x:f>I27+J25</x:f>
        <x:v>-1230329669.7439437</x:v>
      </x:c>
      <x:c r="K27" s="187" t="n">
        <x:f>J27+K25</x:f>
        <x:v>-1157146369.6396337</x:v>
      </x:c>
      <x:c r="L27" s="187" t="n">
        <x:f>K27+L25</x:f>
        <x:v>-1048579374.7917258</x:v>
      </x:c>
      <x:c r="M27" s="187" t="n">
        <x:f>L27+M25</x:f>
        <x:v>-903927104.3012676</x:v>
      </x:c>
      <x:c r="N27" s="187" t="n">
        <x:f>M27+N25</x:f>
        <x:v>-722404856.0516386</x:v>
      </x:c>
      <x:c r="O27" s="187" t="n">
        <x:f>N27+O25</x:f>
        <x:v>-503142812.5454392</x:v>
      </x:c>
      <x:c r="P27" s="187" t="n">
        <x:f>O27+P25</x:f>
        <x:v>-245183849.74782497</x:v>
      </x:c>
      <x:c r="Q27" s="187" t="n">
        <x:f>P27+Q25</x:f>
        <x:v>52518856.53555012</x:v>
      </x:c>
      <x:c r="R27" s="187" t="n">
        <x:f>Q27+R25</x:f>
        <x:v>391104432.68840945</x:v>
      </x:c>
      <x:c r="S27" s="187" t="n">
        <x:f>R27+S25</x:f>
        <x:v>771807124.1492382</x:v>
      </x:c>
      <x:c r="T27" s="187" t="n">
        <x:f>S27+T25</x:f>
        <x:v>1195959334.04092</x:v>
      </x:c>
      <x:c r="U27" s="187" t="n">
        <x:f>T27+U25</x:f>
        <x:v>1664994891.011396</x:v>
      </x:c>
      <x:c r="V27" s="187" t="n">
        <x:f>U27+V25</x:f>
        <x:v>2180452554.2683163</x:v>
      </x:c>
      <x:c r="W27" s="187" t="n">
        <x:f>V27+W25</x:f>
        <x:v>2743979764.3462973</x:v>
      </x:c>
      <x:c r="X27" s="187" t="n">
        <x:f>W27+X25</x:f>
        <x:v>3357336648.7217717</x:v>
      </x:c>
      <x:c r="Y27" s="187" t="n">
        <x:f>X27+Y25</x:f>
        <x:v>4022400291.9889026</x:v>
      </x:c>
      <x:c r="Z27" s="187" t="n">
        <x:f>Y27+Z25</x:f>
        <x:v>4741169280.9319935</x:v>
      </x:c>
    </x:row>
    <x:row r="29" s="112" customFormat="1" ht="15" customHeight="1">
      <x:c r="A29" s="185" t="inlineStr">
        <x:is>
          <x:t xml:space="preserve">XẤU</x:t>
        </x:is>
      </x:c>
    </x:row>
    <x:row r="30" s="112" customFormat="1" ht="15" customHeight="1">
      <x:c r="A30" s="158" t="inlineStr">
        <x:is>
          <x:t xml:space="preserve">Khách mới</x:t>
        </x:is>
      </x:c>
      <x:c r="C30" s="186" t="n">
        <x:f>'3_Giả định'!$D$7*(1+'3_Giả định'!$D$8)^0</x:f>
        <x:v>5</x:v>
      </x:c>
      <x:c r="D30" s="186" t="n">
        <x:f>'3_Giả định'!$D$7*(1+'3_Giả định'!$D$8)^1</x:f>
        <x:v>5.1</x:v>
      </x:c>
      <x:c r="E30" s="186" t="n">
        <x:f>'3_Giả định'!$D$7*(1+'3_Giả định'!$D$8)^2</x:f>
        <x:v>5.202</x:v>
      </x:c>
      <x:c r="F30" s="186" t="n">
        <x:f>'3_Giả định'!$D$7*(1+'3_Giả định'!$D$8)^3</x:f>
        <x:v>5.306040000000001</x:v>
      </x:c>
      <x:c r="G30" s="186" t="n">
        <x:f>'3_Giả định'!$D$7*(1+'3_Giả định'!$D$8)^4</x:f>
        <x:v>5.4121608</x:v>
      </x:c>
      <x:c r="H30" s="186" t="n">
        <x:f>'3_Giả định'!$D$7*(1+'3_Giả định'!$D$8)^5</x:f>
        <x:v>5.5204040160000005</x:v>
      </x:c>
      <x:c r="I30" s="186" t="n">
        <x:f>'3_Giả định'!$D$7*(1+'3_Giả định'!$D$8)^6</x:f>
        <x:v>5.630812096320001</x:v>
      </x:c>
      <x:c r="J30" s="186" t="n">
        <x:f>'3_Giả định'!$D$7*(1+'3_Giả định'!$D$8)^7</x:f>
        <x:v>5.7434283382464</x:v>
      </x:c>
      <x:c r="K30" s="186" t="n">
        <x:f>'3_Giả định'!$D$7*(1+'3_Giả định'!$D$8)^8</x:f>
        <x:v>5.858296905011329</x:v>
      </x:c>
      <x:c r="L30" s="186" t="n">
        <x:f>'3_Giả định'!$D$7*(1+'3_Giả định'!$D$8)^9</x:f>
        <x:v>5.975462843111555</x:v>
      </x:c>
      <x:c r="M30" s="186" t="n">
        <x:f>'3_Giả định'!$D$7*(1+'3_Giả định'!$D$8)^10</x:f>
        <x:v>6.094972099973787</x:v>
      </x:c>
      <x:c r="N30" s="186" t="n">
        <x:f>'3_Giả định'!$D$7*(1+'3_Giả định'!$D$8)^11</x:f>
        <x:v>6.216871541973262</x:v>
      </x:c>
      <x:c r="O30" s="186" t="n">
        <x:f>'3_Giả định'!$D$7*(1+'3_Giả định'!$D$8)^12</x:f>
        <x:v>6.341208972812727</x:v>
      </x:c>
      <x:c r="P30" s="186" t="n">
        <x:f>'3_Giả định'!$D$7*(1+'3_Giả định'!$D$8)^13</x:f>
        <x:v>6.4680331522689825</x:v>
      </x:c>
      <x:c r="Q30" s="186" t="n">
        <x:f>'3_Giả định'!$D$7*(1+'3_Giả định'!$D$8)^14</x:f>
        <x:v>6.597393815314362</x:v>
      </x:c>
      <x:c r="R30" s="186" t="n">
        <x:f>'3_Giả định'!$D$7*(1+'3_Giả định'!$D$8)^15</x:f>
        <x:v>6.729341691620649</x:v>
      </x:c>
      <x:c r="S30" s="186" t="n">
        <x:f>'3_Giả định'!$D$7*(1+'3_Giả định'!$D$8)^16</x:f>
        <x:v>6.863928525453062</x:v>
      </x:c>
      <x:c r="T30" s="186" t="n">
        <x:f>'3_Giả định'!$D$7*(1+'3_Giả định'!$D$8)^17</x:f>
        <x:v>7.001207095962124</x:v>
      </x:c>
      <x:c r="U30" s="186" t="n">
        <x:f>'3_Giả định'!$D$7*(1+'3_Giả định'!$D$8)^18</x:f>
        <x:v>7.141231237881367</x:v>
      </x:c>
      <x:c r="V30" s="186" t="n">
        <x:f>'3_Giả định'!$D$7*(1+'3_Giả định'!$D$8)^19</x:f>
        <x:v>7.2840558626389935</x:v>
      </x:c>
      <x:c r="W30" s="186" t="n">
        <x:f>'3_Giả định'!$D$7*(1+'3_Giả định'!$D$8)^20</x:f>
        <x:v>7.429736979891775</x:v>
      </x:c>
      <x:c r="X30" s="186" t="n">
        <x:f>'3_Giả định'!$D$7*(1+'3_Giả định'!$D$8)^21</x:f>
        <x:v>7.57833171948961</x:v>
      </x:c>
      <x:c r="Y30" s="186" t="n">
        <x:f>'3_Giả định'!$D$7*(1+'3_Giả định'!$D$8)^22</x:f>
        <x:v>7.729898353879402</x:v>
      </x:c>
      <x:c r="Z30" s="186" t="n">
        <x:f>'3_Giả định'!$D$7*(1+'3_Giả định'!$D$8)^23</x:f>
        <x:v>7.884496320956991</x:v>
      </x:c>
    </x:row>
    <x:row r="31" s="112" customFormat="1" ht="15" customHeight="1">
      <x:c r="A31" s="158" t="inlineStr">
        <x:is>
          <x:t xml:space="preserve">Khách đang dùng</x:t>
        </x:is>
      </x:c>
      <x:c r="B31" s="111" t="n">
        <x:v>0</x:v>
      </x:c>
      <x:c r="C31" s="186" t="n">
        <x:f>B31*(1-'3_Giả định'!$D$9)+C30</x:f>
        <x:v>5</x:v>
      </x:c>
      <x:c r="D31" s="186" t="n">
        <x:f>C31*(1-'3_Giả định'!$D$9)+D30</x:f>
        <x:v>9.74</x:v>
      </x:c>
      <x:c r="E31" s="186" t="n">
        <x:f>D31*(1-'3_Giả định'!$D$9)+E30</x:f>
        <x:v>14.240720000000001</x:v>
      </x:c>
      <x:c r="F31" s="186" t="n">
        <x:f>E31*(1-'3_Giả định'!$D$9)+F30</x:f>
        <x:v>18.521428160000003</x:v>
      </x:c>
      <x:c r="G31" s="186" t="n">
        <x:f>F31*(1-'3_Giả định'!$D$9)+G30</x:f>
        <x:v>22.600046132480003</x:v>
      </x:c>
      <x:c r="H31" s="186" t="n">
        <x:f>G31*(1-'3_Giả định'!$D$9)+H30</x:f>
        <x:v>26.493246826941444</x:v>
      </x:c>
      <x:c r="I31" s="186" t="n">
        <x:f>H31*(1-'3_Giả định'!$D$9)+I30</x:f>
        <x:v>30.21654515172166</x:v>
      </x:c>
      <x:c r="J31" s="186" t="n">
        <x:f>I31*(1-'3_Giả định'!$D$9)+J30</x:f>
        <x:v>33.784382239044106</x:v>
      </x:c>
      <x:c r="K31" s="186" t="n">
        <x:f>J31*(1-'3_Giả định'!$D$9)+K30</x:f>
        <x:v>37.21020362284426</x:v>
      </x:c>
      <x:c r="L31" s="186" t="n">
        <x:f>K31*(1-'3_Giả định'!$D$9)+L30</x:f>
        <x:v>40.50653180511103</x:v>
      </x:c>
      <x:c r="M31" s="186" t="n">
        <x:f>L31*(1-'3_Giả định'!$D$9)+M30</x:f>
        <x:v>43.68503361511683</x:v>
      </x:c>
      <x:c r="N31" s="186" t="n">
        <x:f>M31*(1-'3_Giả định'!$D$9)+N30</x:f>
        <x:v>46.75658273680168</x:v>
      </x:c>
      <x:c r="O31" s="186" t="n">
        <x:f>N31*(1-'3_Giả định'!$D$9)+O30</x:f>
        <x:v>49.73131775256469</x:v>
      </x:c>
      <x:c r="P31" s="186" t="n">
        <x:f>O31*(1-'3_Giả định'!$D$9)+P30</x:f>
        <x:v>52.61869602664902</x:v>
      </x:c>
      <x:c r="Q31" s="186" t="n">
        <x:f>P31*(1-'3_Giả định'!$D$9)+Q30</x:f>
        <x:v>55.427543728044654</x:v>
      </x:c>
      <x:c r="R31" s="186" t="n">
        <x:f>Q31*(1-'3_Giả định'!$D$9)+R30</x:f>
        <x:v>58.16610227124609</x:v>
      </x:c>
      <x:c r="S31" s="186" t="n">
        <x:f>R31*(1-'3_Giả định'!$D$9)+S30</x:f>
        <x:v>60.84207143316944</x:v>
      </x:c>
      <x:c r="T31" s="186" t="n">
        <x:f>S31*(1-'3_Giả định'!$D$9)+T30</x:f>
        <x:v>63.462649385943365</x:v>
      </x:c>
      <x:c r="U31" s="186" t="n">
        <x:f>T31*(1-'3_Giả định'!$D$9)+U30</x:f>
        <x:v>66.03456986803681</x:v>
      </x:c>
      <x:c r="V31" s="186" t="n">
        <x:f>U31*(1-'3_Giả định'!$D$9)+V30</x:f>
        <x:v>68.56413670017716</x:v>
      </x:c>
      <x:c r="W31" s="186" t="n">
        <x:f>V31*(1-'3_Giả định'!$D$9)+W30</x:f>
        <x:v>71.05725583765619</x:v>
      </x:c>
      <x:c r="X31" s="186" t="n">
        <x:f>W31*(1-'3_Giả định'!$D$9)+X30</x:f>
        <x:v>73.51946513683455</x:v>
      </x:c>
      <x:c r="Y31" s="186" t="n">
        <x:f>X31*(1-'3_Giả định'!$D$9)+Y30</x:f>
        <x:v>75.95596200086187</x:v>
      </x:c>
      <x:c r="Z31" s="186" t="n">
        <x:f>Y31*(1-'3_Giả định'!$D$9)+Z30</x:f>
        <x:v>78.37162905775682</x:v>
      </x:c>
    </x:row>
    <x:row r="32" s="112" customFormat="1" ht="15" customHeight="1">
      <x:c r="A32" s="158" t="inlineStr">
        <x:is>
          <x:t xml:space="preserve">Doanh thu</x:t>
        </x:is>
      </x:c>
      <x:c r="C32" s="187" t="n">
        <x:f>C31*'3_Giả định'!$D$17</x:f>
        <x:v>20840000</x:v>
      </x:c>
      <x:c r="D32" s="187" t="n">
        <x:f>D31*'3_Giả định'!$D$17</x:f>
        <x:v>40596320</x:v>
      </x:c>
      <x:c r="E32" s="187" t="n">
        <x:f>E31*'3_Giả định'!$D$17</x:f>
        <x:v>59355320.96000001</x:v>
      </x:c>
      <x:c r="F32" s="187" t="n">
        <x:f>F31*'3_Giả định'!$D$17</x:f>
        <x:v>77197312.57088001</x:v>
      </x:c>
      <x:c r="G32" s="187" t="n">
        <x:f>G31*'3_Giả định'!$D$17</x:f>
        <x:v>94196992.28017665</x:v>
      </x:c>
      <x:c r="H32" s="187" t="n">
        <x:f>H31*'3_Giả định'!$D$17</x:f>
        <x:v>110423852.77469194</x:v>
      </x:c>
      <x:c r="I32" s="187" t="n">
        <x:f>I31*'3_Giả định'!$D$17</x:f>
        <x:v>125942560.19237588</x:v>
      </x:c>
      <x:c r="J32" s="187" t="n">
        <x:f>J31*'3_Giả định'!$D$17</x:f>
        <x:v>140813305.17233583</x:v>
      </x:c>
      <x:c r="K32" s="187" t="n">
        <x:f>K31*'3_Giả định'!$D$17</x:f>
        <x:v>155092128.7000149</x:v>
      </x:c>
      <x:c r="L32" s="187" t="n">
        <x:f>L31*'3_Giả định'!$D$17</x:f>
        <x:v>168831224.5637028</x:v>
      </x:c>
      <x:c r="M32" s="187" t="n">
        <x:f>M31*'3_Giả định'!$D$17</x:f>
        <x:v>182079220.10780695</x:v>
      </x:c>
      <x:c r="N32" s="187" t="n">
        <x:f>N31*'3_Giả định'!$D$17</x:f>
        <x:v>194881436.84698942</x:v>
      </x:c>
      <x:c r="O32" s="187" t="n">
        <x:f>O31*'3_Giả định'!$D$17</x:f>
        <x:v>207280132.39268965</x:v>
      </x:c>
      <x:c r="P32" s="187" t="n">
        <x:f>P31*'3_Giả định'!$D$17</x:f>
        <x:v>219314725.0390731</x:v>
      </x:c>
      <x:c r="Q32" s="187" t="n">
        <x:f>Q31*'3_Giả định'!$D$17</x:f>
        <x:v>231022002.25849012</x:v>
      </x:c>
      <x:c r="R32" s="187" t="n">
        <x:f>R31*'3_Giả định'!$D$17</x:f>
        <x:v>242436314.2665537</x:v>
      </x:c>
      <x:c r="S32" s="187" t="n">
        <x:f>S31*'3_Giả định'!$D$17</x:f>
        <x:v>253589753.7334502</x:v>
      </x:c>
      <x:c r="T32" s="187" t="n">
        <x:f>T31*'3_Giả định'!$D$17</x:f>
        <x:v>264512322.64061195</x:v>
      </x:c>
      <x:c r="U32" s="187" t="n">
        <x:f>U31*'3_Giả định'!$D$17</x:f>
        <x:v>275232087.20997745</x:v>
      </x:c>
      <x:c r="V32" s="187" t="n">
        <x:f>V31*'3_Giả định'!$D$17</x:f>
        <x:v>285775321.7663384</x:v>
      </x:c>
      <x:c r="W32" s="187" t="n">
        <x:f>W31*'3_Giả định'!$D$17</x:f>
        <x:v>296166642.331351</x:v>
      </x:c>
      <x:c r="X32" s="187" t="n">
        <x:f>X31*'3_Giả định'!$D$17</x:f>
        <x:v>306429130.69032645</x:v>
      </x:c>
      <x:c r="Y32" s="187" t="n">
        <x:f>Y31*'3_Giả định'!$D$17</x:f>
        <x:v>316584449.6195923</x:v>
      </x:c>
      <x:c r="Z32" s="187" t="n">
        <x:f>Z31*'3_Giả định'!$D$17</x:f>
        <x:v>326652949.91273046</x:v>
      </x:c>
    </x:row>
    <x:row r="33" s="112" customFormat="1" ht="15" customHeight="1">
      <x:c r="A33" s="158" t="inlineStr">
        <x:is>
          <x:t xml:space="preserve">Chi phí AI (giá vốn)</x:t>
        </x:is>
      </x:c>
      <x:c r="C33" s="187" t="n">
        <x:f>C31*'3_Giả định'!$D$18</x:f>
        <x:v>9716388</x:v>
      </x:c>
      <x:c r="D33" s="187" t="n">
        <x:f>D31*'3_Giả định'!$D$18</x:f>
        <x:v>18927523.824</x:v>
      </x:c>
      <x:c r="E33" s="187" t="n">
        <x:f>E31*'3_Giả định'!$D$18</x:f>
        <x:v>27673672.183872003</x:v>
      </x:c>
      <x:c r="F33" s="187" t="n">
        <x:f>F31*'3_Giả định'!$D$18</x:f>
        <x:v>35992276.46333722</x:v>
      </x:c>
      <x:c r="G33" s="187" t="n">
        <x:f>G31*'3_Giả định'!$D$18</x:f>
        <x:v>43918163.40821502</x:v>
      </x:c>
      <x:c r="H33" s="187" t="n">
        <x:f>H31*'3_Giả định'!$D$18</x:f>
        <x:v>51483733.110066384</x:v>
      </x:c>
      <x:c r="I33" s="187" t="n">
        <x:f>I31*'3_Giả định'!$D$18</x:f>
        <x:v>58719135.34272931</x:v>
      </x:c>
      <x:c r="J33" s="187" t="n">
        <x:f>J31*'3_Giả định'!$D$18</x:f>
        <x:v>65652433.23497226</x:v>
      </x:c>
      <x:c r="K33" s="187" t="n">
        <x:f>K31*'3_Giả định'!$D$18</x:f>
        <x:v>72309755.19171211</x:v>
      </x:c>
      <x:c r="L33" s="187" t="n">
        <x:f>L31*'3_Giả định'!$D$18</x:f>
        <x:v>78715435.91055983</x:v>
      </x:c>
      <x:c r="M33" s="187" t="n">
        <x:f>M31*'3_Giả định'!$D$18</x:f>
        <x:v>84892147.27950355</x:v>
      </x:c>
      <x:c r="N33" s="187" t="n">
        <x:f>N31*'3_Giả định'!$D$18</x:f>
        <x:v>90861019.8849734</x:v>
      </x:c>
      <x:c r="O33" s="187" t="n">
        <x:f>O31*'3_Giả định'!$D$18</x:f>
        <x:v>96641755.80704132</x:v>
      </x:c>
      <x:c r="P33" s="187" t="n">
        <x:f>P31*'3_Giả định'!$D$18</x:f>
        <x:v>102252733.32979605</x:v>
      </x:c>
      <x:c r="Q33" s="187" t="n">
        <x:f>Q31*'3_Giả định'!$D$18</x:f>
        <x:v>107711104.14972967</x:v>
      </x:c>
      <x:c r="R33" s="187" t="n">
        <x:f>R31*'3_Giả định'!$D$18</x:f>
        <x:v>113032883.62302165</x:v>
      </x:c>
      <x:c r="S33" s="187" t="n">
        <x:f>S31*'3_Giả định'!$D$18</x:f>
        <x:v>118233034.55367807</x:v>
      </x:c>
      <x:c r="T33" s="187" t="n">
        <x:f>T31*'3_Giả định'!$D$18</x:f>
        <x:v>123325544.9883575</x:v>
      </x:c>
      <x:c r="U33" s="187" t="n">
        <x:f>U31*'3_Giả định'!$D$18</x:f>
        <x:v>128323500.4501909</x:v>
      </x:c>
      <x:c r="V33" s="187" t="n">
        <x:f>V31*'3_Giả định'!$D$18</x:f>
        <x:v>133239151.0127922</x:v>
      </x:c>
      <x:c r="W33" s="187" t="n">
        <x:f>W31*'3_Giả định'!$D$18</x:f>
        <x:v>138083973.5867865</x:v>
      </x:c>
      <x:c r="X33" s="187" t="n">
        <x:f>X31*'3_Giả định'!$D$18</x:f>
        <x:v>142868729.76439154</x:v>
      </x:c>
      <x:c r="Y33" s="187" t="n">
        <x:f>Y31*'3_Giả định'!$D$18</x:f>
        <x:v>147603519.54272607</x:v>
      </x:c>
      <x:c r="Z33" s="187" t="n">
        <x:f>Z31*'3_Giả định'!$D$18</x:f>
        <x:v>152297831.22344795</x:v>
      </x:c>
    </x:row>
    <x:row r="34" s="112" customFormat="1" ht="15" customHeight="1">
      <x:c r="A34" s="158" t="inlineStr">
        <x:is>
          <x:t xml:space="preserve">Lợi nhuận gộp</x:t>
        </x:is>
      </x:c>
      <x:c r="C34" s="187" t="n">
        <x:f>C32-C33</x:f>
        <x:v>11123612</x:v>
      </x:c>
      <x:c r="D34" s="187" t="n">
        <x:f>D32-D33</x:f>
        <x:v>21668796.176</x:v>
      </x:c>
      <x:c r="E34" s="187" t="n">
        <x:f>E32-E33</x:f>
        <x:v>31681648.776128005</x:v>
      </x:c>
      <x:c r="F34" s="187" t="n">
        <x:f>F32-F33</x:f>
        <x:v>41205036.10754279</x:v>
      </x:c>
      <x:c r="G34" s="187" t="n">
        <x:f>G32-G33</x:f>
        <x:v>50278828.87196163</x:v>
      </x:c>
      <x:c r="H34" s="187" t="n">
        <x:f>H32-H33</x:f>
        <x:v>58940119.664625555</x:v>
      </x:c>
      <x:c r="I34" s="187" t="n">
        <x:f>I32-I33</x:f>
        <x:v>67223424.84964657</x:v>
      </x:c>
      <x:c r="J34" s="187" t="n">
        <x:f>J32-J33</x:f>
        <x:v>75160871.93736356</x:v>
      </x:c>
      <x:c r="K34" s="187" t="n">
        <x:f>K32-K33</x:f>
        <x:v>82782373.50830278</x:v>
      </x:c>
      <x:c r="L34" s="187" t="n">
        <x:f>L32-L33</x:f>
        <x:v>90115788.65314296</x:v>
      </x:c>
      <x:c r="M34" s="187" t="n">
        <x:f>M32-M33</x:f>
        <x:v>97187072.8283034</x:v>
      </x:c>
      <x:c r="N34" s="187" t="n">
        <x:f>N32-N33</x:f>
        <x:v>104020416.96201602</x:v>
      </x:c>
      <x:c r="O34" s="187" t="n">
        <x:f>O32-O33</x:f>
        <x:v>110638376.58564833</x:v>
      </x:c>
      <x:c r="P34" s="187" t="n">
        <x:f>P32-P33</x:f>
        <x:v>117061991.70927706</x:v>
      </x:c>
      <x:c r="Q34" s="187" t="n">
        <x:f>Q32-Q33</x:f>
        <x:v>123310898.10876045</x:v>
      </x:c>
      <x:c r="R34" s="187" t="n">
        <x:f>R32-R33</x:f>
        <x:v>129403430.64353205</x:v>
      </x:c>
      <x:c r="S34" s="187" t="n">
        <x:f>S32-S33</x:f>
        <x:v>135356719.17977214</x:v>
      </x:c>
      <x:c r="T34" s="187" t="n">
        <x:f>T32-T33</x:f>
        <x:v>141186777.65225446</x:v>
      </x:c>
      <x:c r="U34" s="187" t="n">
        <x:f>U32-U33</x:f>
        <x:v>146908586.75978655</x:v>
      </x:c>
      <x:c r="V34" s="187" t="n">
        <x:f>V32-V33</x:f>
        <x:v>152536170.7535462</x:v>
      </x:c>
      <x:c r="W34" s="187" t="n">
        <x:f>W32-W33</x:f>
        <x:v>158082668.74456447</x:v>
      </x:c>
      <x:c r="X34" s="187" t="n">
        <x:f>X32-X33</x:f>
        <x:v>163560400.9259349</x:v>
      </x:c>
      <x:c r="Y34" s="187" t="n">
        <x:f>Y32-Y33</x:f>
        <x:v>168980930.07686624</x:v>
      </x:c>
      <x:c r="Z34" s="187" t="n">
        <x:f>Z32-Z33</x:f>
        <x:v>174355118.6892825</x:v>
      </x:c>
    </x:row>
    <x:row r="35" s="112" customFormat="1" ht="15" customHeight="1">
      <x:c r="A35" s="158" t="inlineStr">
        <x:is>
          <x:t xml:space="preserve">Chi phí bán hàng (chi phí có khách × khách mới)</x:t>
        </x:is>
      </x:c>
      <x:c r="C35" s="187" t="n">
        <x:f>C30*'3_Giả định'!$D$10</x:f>
        <x:v>52500000</x:v>
      </x:c>
      <x:c r="D35" s="187" t="n">
        <x:f>D30*'3_Giả định'!$D$10</x:f>
        <x:v>53549999.99999999</x:v>
      </x:c>
      <x:c r="E35" s="187" t="n">
        <x:f>E30*'3_Giả định'!$D$10</x:f>
        <x:v>54621000</x:v>
      </x:c>
      <x:c r="F35" s="187" t="n">
        <x:f>F30*'3_Giả định'!$D$10</x:f>
        <x:v>55713420.000000015</x:v>
      </x:c>
      <x:c r="G35" s="187" t="n">
        <x:f>G30*'3_Giả định'!$D$10</x:f>
        <x:v>56827688.4</x:v>
      </x:c>
      <x:c r="H35" s="187" t="n">
        <x:f>H30*'3_Giả định'!$D$10</x:f>
        <x:v>57964242.168000005</x:v>
      </x:c>
      <x:c r="I35" s="187" t="n">
        <x:f>I30*'3_Giả định'!$D$10</x:f>
        <x:v>59123527.011360005</x:v>
      </x:c>
      <x:c r="J35" s="187" t="n">
        <x:f>J30*'3_Giả định'!$D$10</x:f>
        <x:v>60305997.5515872</x:v>
      </x:c>
      <x:c r="K35" s="187" t="n">
        <x:f>K30*'3_Giả định'!$D$10</x:f>
        <x:v>61512117.50261895</x:v>
      </x:c>
      <x:c r="L35" s="187" t="n">
        <x:f>L30*'3_Giả định'!$D$10</x:f>
        <x:v>62742359.852671325</x:v>
      </x:c>
      <x:c r="M35" s="187" t="n">
        <x:f>M30*'3_Giả định'!$D$10</x:f>
        <x:v>63997207.049724765</x:v>
      </x:c>
      <x:c r="N35" s="187" t="n">
        <x:f>N30*'3_Giả định'!$D$10</x:f>
        <x:v>65277151.190719254</x:v>
      </x:c>
      <x:c r="O35" s="187" t="n">
        <x:f>O30*'3_Giả định'!$D$10</x:f>
        <x:v>66582694.214533634</x:v>
      </x:c>
      <x:c r="P35" s="187" t="n">
        <x:f>P30*'3_Giả định'!$D$10</x:f>
        <x:v>67914348.09882432</x:v>
      </x:c>
      <x:c r="Q35" s="187" t="n">
        <x:f>Q30*'3_Giả định'!$D$10</x:f>
        <x:v>69272635.0608008</x:v>
      </x:c>
      <x:c r="R35" s="187" t="n">
        <x:f>R30*'3_Giả định'!$D$10</x:f>
        <x:v>70658087.76201682</x:v>
      </x:c>
      <x:c r="S35" s="187" t="n">
        <x:f>S30*'3_Giả định'!$D$10</x:f>
        <x:v>72071249.51725715</x:v>
      </x:c>
      <x:c r="T35" s="187" t="n">
        <x:f>T30*'3_Giả định'!$D$10</x:f>
        <x:v>73512674.5076023</x:v>
      </x:c>
      <x:c r="U35" s="187" t="n">
        <x:f>U30*'3_Giả định'!$D$10</x:f>
        <x:v>74982927.99775435</x:v>
      </x:c>
      <x:c r="V35" s="187" t="n">
        <x:f>V30*'3_Giả định'!$D$10</x:f>
        <x:v>76482586.55770943</x:v>
      </x:c>
      <x:c r="W35" s="187" t="n">
        <x:f>W30*'3_Giả định'!$D$10</x:f>
        <x:v>78012238.28886364</x:v>
      </x:c>
      <x:c r="X35" s="187" t="n">
        <x:f>X30*'3_Giả định'!$D$10</x:f>
        <x:v>79572483.0546409</x:v>
      </x:c>
      <x:c r="Y35" s="187" t="n">
        <x:f>Y30*'3_Giả định'!$D$10</x:f>
        <x:v>81163932.71573372</x:v>
      </x:c>
      <x:c r="Z35" s="187" t="n">
        <x:f>Z30*'3_Giả định'!$D$10</x:f>
        <x:v>82787211.3700484</x:v>
      </x:c>
    </x:row>
    <x:row r="36" s="112" customFormat="1" ht="15" customHeight="1">
      <x:c r="A36" s="158" t="inlineStr">
        <x:is>
          <x:t xml:space="preserve">Chi phí cố định</x:t>
        </x:is>
      </x:c>
      <x:c r="C36" s="187" t="n">
        <x:f>'3_Giả định'!$D$11</x:f>
        <x:v>160000000</x:v>
      </x:c>
      <x:c r="D36" s="187" t="n">
        <x:f>'3_Giả định'!$D$11</x:f>
        <x:v>160000000</x:v>
      </x:c>
      <x:c r="E36" s="187" t="n">
        <x:f>'3_Giả định'!$D$11</x:f>
        <x:v>160000000</x:v>
      </x:c>
      <x:c r="F36" s="187" t="n">
        <x:f>'3_Giả định'!$D$11</x:f>
        <x:v>160000000</x:v>
      </x:c>
      <x:c r="G36" s="187" t="n">
        <x:f>'3_Giả định'!$D$11</x:f>
        <x:v>160000000</x:v>
      </x:c>
      <x:c r="H36" s="187" t="n">
        <x:f>'3_Giả định'!$D$11</x:f>
        <x:v>160000000</x:v>
      </x:c>
      <x:c r="I36" s="187" t="n">
        <x:f>'3_Giả định'!$D$11</x:f>
        <x:v>160000000</x:v>
      </x:c>
      <x:c r="J36" s="187" t="n">
        <x:f>'3_Giả định'!$D$11</x:f>
        <x:v>160000000</x:v>
      </x:c>
      <x:c r="K36" s="187" t="n">
        <x:f>'3_Giả định'!$D$11</x:f>
        <x:v>160000000</x:v>
      </x:c>
      <x:c r="L36" s="187" t="n">
        <x:f>'3_Giả định'!$D$11</x:f>
        <x:v>160000000</x:v>
      </x:c>
      <x:c r="M36" s="187" t="n">
        <x:f>'3_Giả định'!$D$11</x:f>
        <x:v>160000000</x:v>
      </x:c>
      <x:c r="N36" s="187" t="n">
        <x:f>'3_Giả định'!$D$11</x:f>
        <x:v>160000000</x:v>
      </x:c>
      <x:c r="O36" s="187" t="n">
        <x:f>'3_Giả định'!$D$11</x:f>
        <x:v>160000000</x:v>
      </x:c>
      <x:c r="P36" s="187" t="n">
        <x:f>'3_Giả định'!$D$11</x:f>
        <x:v>160000000</x:v>
      </x:c>
      <x:c r="Q36" s="187" t="n">
        <x:f>'3_Giả định'!$D$11</x:f>
        <x:v>160000000</x:v>
      </x:c>
      <x:c r="R36" s="187" t="n">
        <x:f>'3_Giả định'!$D$11</x:f>
        <x:v>160000000</x:v>
      </x:c>
      <x:c r="S36" s="187" t="n">
        <x:f>'3_Giả định'!$D$11</x:f>
        <x:v>160000000</x:v>
      </x:c>
      <x:c r="T36" s="187" t="n">
        <x:f>'3_Giả định'!$D$11</x:f>
        <x:v>160000000</x:v>
      </x:c>
      <x:c r="U36" s="187" t="n">
        <x:f>'3_Giả định'!$D$11</x:f>
        <x:v>160000000</x:v>
      </x:c>
      <x:c r="V36" s="187" t="n">
        <x:f>'3_Giả định'!$D$11</x:f>
        <x:v>160000000</x:v>
      </x:c>
      <x:c r="W36" s="187" t="n">
        <x:f>'3_Giả định'!$D$11</x:f>
        <x:v>160000000</x:v>
      </x:c>
      <x:c r="X36" s="187" t="n">
        <x:f>'3_Giả định'!$D$11</x:f>
        <x:v>160000000</x:v>
      </x:c>
      <x:c r="Y36" s="187" t="n">
        <x:f>'3_Giả định'!$D$11</x:f>
        <x:v>160000000</x:v>
      </x:c>
      <x:c r="Z36" s="187" t="n">
        <x:f>'3_Giả định'!$D$11</x:f>
        <x:v>160000000</x:v>
      </x:c>
    </x:row>
    <x:row r="37" s="112" customFormat="1" ht="15" customHeight="1">
      <x:c r="A37" s="158" t="inlineStr">
        <x:is>
          <x:t xml:space="preserve">Dòng tiền ròng</x:t>
        </x:is>
      </x:c>
      <x:c r="B37" s="187" t="n">
        <x:f>-'3_Giả định'!$D$12</x:f>
        <x:v>-600000000</x:v>
      </x:c>
      <x:c r="C37" s="187" t="n">
        <x:f>C34-C35-C36</x:f>
        <x:v>-201376388</x:v>
      </x:c>
      <x:c r="D37" s="187" t="n">
        <x:f>D34-D35-D36</x:f>
        <x:v>-191881203.824</x:v>
      </x:c>
      <x:c r="E37" s="187" t="n">
        <x:f>E34-E35-E36</x:f>
        <x:v>-182939351.223872</x:v>
      </x:c>
      <x:c r="F37" s="187" t="n">
        <x:f>F34-F35-F36</x:f>
        <x:v>-174508383.89245722</x:v>
      </x:c>
      <x:c r="G37" s="187" t="n">
        <x:f>G34-G35-G36</x:f>
        <x:v>-166548859.52803838</x:v>
      </x:c>
      <x:c r="H37" s="187" t="n">
        <x:f>H34-H35-H36</x:f>
        <x:v>-159024122.50337446</x:v>
      </x:c>
      <x:c r="I37" s="187" t="n">
        <x:f>I34-I35-I36</x:f>
        <x:v>-151900102.16171342</x:v>
      </x:c>
      <x:c r="J37" s="187" t="n">
        <x:f>J34-J35-J36</x:f>
        <x:v>-145145125.61422363</x:v>
      </x:c>
      <x:c r="K37" s="187" t="n">
        <x:f>K34-K35-K36</x:f>
        <x:v>-138729743.99431616</x:v>
      </x:c>
      <x:c r="L37" s="187" t="n">
        <x:f>L34-L35-L36</x:f>
        <x:v>-132626571.19952837</x:v>
      </x:c>
      <x:c r="M37" s="187" t="n">
        <x:f>M34-M35-M36</x:f>
        <x:v>-126810134.22142136</x:v>
      </x:c>
      <x:c r="N37" s="187" t="n">
        <x:f>N34-N35-N36</x:f>
        <x:v>-121256734.22870323</x:v>
      </x:c>
      <x:c r="O37" s="187" t="n">
        <x:f>O34-O35-O36</x:f>
        <x:v>-115944317.6288853</x:v>
      </x:c>
      <x:c r="P37" s="187" t="n">
        <x:f>P34-P35-P36</x:f>
        <x:v>-110852356.38954726</x:v>
      </x:c>
      <x:c r="Q37" s="187" t="n">
        <x:f>Q34-Q35-Q36</x:f>
        <x:v>-105961736.95204036</x:v>
      </x:c>
      <x:c r="R37" s="187" t="n">
        <x:f>R34-R35-R36</x:f>
        <x:v>-101254657.11848477</x:v>
      </x:c>
      <x:c r="S37" s="187" t="n">
        <x:f>S34-S35-S36</x:f>
        <x:v>-96714530.33748502</x:v>
      </x:c>
      <x:c r="T37" s="187" t="n">
        <x:f>T34-T35-T36</x:f>
        <x:v>-92325896.85534784</x:v>
      </x:c>
      <x:c r="U37" s="187" t="n">
        <x:f>U34-U35-U36</x:f>
        <x:v>-88074341.2379678</x:v>
      </x:c>
      <x:c r="V37" s="187" t="n">
        <x:f>V34-V35-V36</x:f>
        <x:v>-83946415.80416322</x:v>
      </x:c>
      <x:c r="W37" s="187" t="n">
        <x:f>W34-W35-W36</x:f>
        <x:v>-79929569.54429917</x:v>
      </x:c>
      <x:c r="X37" s="187" t="n">
        <x:f>X34-X35-X36</x:f>
        <x:v>-76012082.128706</x:v>
      </x:c>
      <x:c r="Y37" s="187" t="n">
        <x:f>Y34-Y35-Y36</x:f>
        <x:v>-72183002.63886748</x:v>
      </x:c>
      <x:c r="Z37" s="187" t="n">
        <x:f>Z34-Z35-Z36</x:f>
        <x:v>-68432092.6807659</x:v>
      </x:c>
    </x:row>
    <x:row r="38" s="112" customFormat="1" ht="15" customHeight="1">
      <x:c r="A38" s="158" t="inlineStr">
        <x:is>
          <x:t xml:space="preserve">Tiền mặt cuối kỳ</x:t>
        </x:is>
      </x:c>
      <x:c r="B38" s="187" t="n">
        <x:f>'3_Giả định'!$D$13+B37</x:f>
        <x:v>2400000000</x:v>
      </x:c>
      <x:c r="C38" s="187" t="n">
        <x:f>B38+C37</x:f>
        <x:v>2198623612</x:v>
      </x:c>
      <x:c r="D38" s="187" t="n">
        <x:f>C38+D37</x:f>
        <x:v>2006742408.176</x:v>
      </x:c>
      <x:c r="E38" s="187" t="n">
        <x:f>D38+E37</x:f>
        <x:v>1823803056.9521282</x:v>
      </x:c>
      <x:c r="F38" s="187" t="n">
        <x:f>E38+F37</x:f>
        <x:v>1649294673.059671</x:v>
      </x:c>
      <x:c r="G38" s="187" t="n">
        <x:f>F38+G37</x:f>
        <x:v>1482745813.5316324</x:v>
      </x:c>
      <x:c r="H38" s="187" t="n">
        <x:f>G38+H37</x:f>
        <x:v>1323721691.0282578</x:v>
      </x:c>
      <x:c r="I38" s="187" t="n">
        <x:f>H38+I37</x:f>
        <x:v>1171821588.8665445</x:v>
      </x:c>
      <x:c r="J38" s="187" t="n">
        <x:f>I38+J37</x:f>
        <x:v>1026676463.2523209</x:v>
      </x:c>
      <x:c r="K38" s="187" t="n">
        <x:f>J38+K37</x:f>
        <x:v>887946719.2580047</x:v>
      </x:c>
      <x:c r="L38" s="187" t="n">
        <x:f>K38+L37</x:f>
        <x:v>755320148.0584763</x:v>
      </x:c>
      <x:c r="M38" s="187" t="n">
        <x:f>L38+M37</x:f>
        <x:v>628510013.837055</x:v>
      </x:c>
      <x:c r="N38" s="187" t="n">
        <x:f>M38+N37</x:f>
        <x:v>507253279.6083517</x:v>
      </x:c>
      <x:c r="O38" s="187" t="n">
        <x:f>N38+O37</x:f>
        <x:v>391308961.97946644</x:v>
      </x:c>
      <x:c r="P38" s="187" t="n">
        <x:f>O38+P37</x:f>
        <x:v>280456605.5899192</x:v>
      </x:c>
      <x:c r="Q38" s="187" t="n">
        <x:f>P38+Q37</x:f>
        <x:v>174494868.63787884</x:v>
      </x:c>
      <x:c r="R38" s="187" t="n">
        <x:f>Q38+R37</x:f>
        <x:v>73240211.51939407</x:v>
      </x:c>
      <x:c r="S38" s="187" t="n">
        <x:f>R38+S37</x:f>
        <x:v>-23474318.818090945</x:v>
      </x:c>
      <x:c r="T38" s="187" t="n">
        <x:f>S38+T37</x:f>
        <x:v>-115800215.67343879</x:v>
      </x:c>
      <x:c r="U38" s="187" t="n">
        <x:f>T38+U37</x:f>
        <x:v>-203874556.91140658</x:v>
      </x:c>
      <x:c r="V38" s="187" t="n">
        <x:f>U38+V37</x:f>
        <x:v>-287820972.7155698</x:v>
      </x:c>
      <x:c r="W38" s="187" t="n">
        <x:f>V38+W37</x:f>
        <x:v>-367750542.259869</x:v>
      </x:c>
      <x:c r="X38" s="187" t="n">
        <x:f>W38+X37</x:f>
        <x:v>-443762624.38857496</x:v>
      </x:c>
      <x:c r="Y38" s="187" t="n">
        <x:f>X38+Y37</x:f>
        <x:v>-515945627.02744246</x:v>
      </x:c>
      <x:c r="Z38" s="187" t="n">
        <x:f>Y38+Z37</x:f>
        <x:v>-584377719.7082083</x:v>
      </x:c>
    </x:row>
    <x:row r="39" s="112" customFormat="1" ht="15" customHeight="1">
      <x:c r="A39" s="158" t="inlineStr">
        <x:is>
          <x:t xml:space="preserve">Dòng tiền lũy kế của dự án</x:t>
        </x:is>
      </x:c>
      <x:c r="B39" s="187" t="n">
        <x:f>B37</x:f>
        <x:v>-600000000</x:v>
      </x:c>
      <x:c r="C39" s="187" t="n">
        <x:f>B39+C37</x:f>
        <x:v>-801376388</x:v>
      </x:c>
      <x:c r="D39" s="187" t="n">
        <x:f>C39+D37</x:f>
        <x:v>-993257591.824</x:v>
      </x:c>
      <x:c r="E39" s="187" t="n">
        <x:f>D39+E37</x:f>
        <x:v>-1176196943.047872</x:v>
      </x:c>
      <x:c r="F39" s="187" t="n">
        <x:f>E39+F37</x:f>
        <x:v>-1350705326.9403293</x:v>
      </x:c>
      <x:c r="G39" s="187" t="n">
        <x:f>F39+G37</x:f>
        <x:v>-1517254186.4683676</x:v>
      </x:c>
      <x:c r="H39" s="187" t="n">
        <x:f>G39+H37</x:f>
        <x:v>-1676278308.9717422</x:v>
      </x:c>
      <x:c r="I39" s="187" t="n">
        <x:f>H39+I37</x:f>
        <x:v>-1828178411.1334555</x:v>
      </x:c>
      <x:c r="J39" s="187" t="n">
        <x:f>I39+J37</x:f>
        <x:v>-1973323536.7476792</x:v>
      </x:c>
      <x:c r="K39" s="187" t="n">
        <x:f>J39+K37</x:f>
        <x:v>-2112053280.7419953</x:v>
      </x:c>
      <x:c r="L39" s="187" t="n">
        <x:f>K39+L37</x:f>
        <x:v>-2244679851.9415236</x:v>
      </x:c>
      <x:c r="M39" s="187" t="n">
        <x:f>L39+M37</x:f>
        <x:v>-2371489986.162945</x:v>
      </x:c>
      <x:c r="N39" s="187" t="n">
        <x:f>M39+N37</x:f>
        <x:v>-2492746720.391648</x:v>
      </x:c>
      <x:c r="O39" s="187" t="n">
        <x:f>N39+O37</x:f>
        <x:v>-2608691038.020533</x:v>
      </x:c>
      <x:c r="P39" s="187" t="n">
        <x:f>O39+P37</x:f>
        <x:v>-2719543394.4100804</x:v>
      </x:c>
      <x:c r="Q39" s="187" t="n">
        <x:f>P39+Q37</x:f>
        <x:v>-2825505131.3621206</x:v>
      </x:c>
      <x:c r="R39" s="187" t="n">
        <x:f>Q39+R37</x:f>
        <x:v>-2926759788.4806056</x:v>
      </x:c>
      <x:c r="S39" s="187" t="n">
        <x:f>R39+S37</x:f>
        <x:v>-3023474318.8180904</x:v>
      </x:c>
      <x:c r="T39" s="187" t="n">
        <x:f>S39+T37</x:f>
        <x:v>-3115800215.673438</x:v>
      </x:c>
      <x:c r="U39" s="187" t="n">
        <x:f>T39+U37</x:f>
        <x:v>-3203874556.911406</x:v>
      </x:c>
      <x:c r="V39" s="187" t="n">
        <x:f>U39+V37</x:f>
        <x:v>-3287820972.7155695</x:v>
      </x:c>
      <x:c r="W39" s="187" t="n">
        <x:f>V39+W37</x:f>
        <x:v>-3367750542.2598686</x:v>
      </x:c>
      <x:c r="X39" s="187" t="n">
        <x:f>W39+X37</x:f>
        <x:v>-3443762624.3885746</x:v>
      </x:c>
      <x:c r="Y39" s="187" t="n">
        <x:f>X39+Y37</x:f>
        <x:v>-3515945627.027442</x:v>
      </x:c>
      <x:c r="Z39" s="187" t="n">
        <x:f>Y39+Z37</x:f>
        <x:v>-3584377719.708208</x:v>
      </x:c>
    </x:row>
    <x:row r="42" s="112" customFormat="1" ht="15" customHeight="1">
      <x:c r="A42" s="188" t="inlineStr">
        <x:is>
          <x:t xml:space="preserve">TÓM TẮT HIỆU QUẢ ĐẦU TƯ</x:t>
        </x:is>
      </x:c>
    </x:row>
    <x:row r="43" s="112" customFormat="1" ht="26.25" customHeight="1">
      <x:c r="A43" s="125" t="inlineStr">
        <x:is>
          <x:t xml:space="preserve">Chỉ số</x:t>
        </x:is>
      </x:c>
      <x:c r="B43" s="125" t="inlineStr">
        <x:is>
          <x:t xml:space="preserve">Lạc quan</x:t>
        </x:is>
      </x:c>
      <x:c r="C43" s="125" t="inlineStr">
        <x:is>
          <x:t xml:space="preserve">Cơ sở</x:t>
        </x:is>
      </x:c>
      <x:c r="D43" s="125" t="inlineStr">
        <x:is>
          <x:t xml:space="preserve">Xấu</x:t>
        </x:is>
      </x:c>
      <x:c r="E43" s="125" t="inlineStr">
        <x:is>
          <x:t xml:space="preserve">Ngưỡng tham khảo</x:t>
        </x:is>
      </x:c>
    </x:row>
    <x:row r="44" s="112" customFormat="1" ht="31.5" customHeight="1">
      <x:c r="A44" s="122" t="inlineStr">
        <x:is>
          <x:t xml:space="preserve">Giá trị hiện tại ròng 24 tháng (đồng; lớn hơn 0 là đáng làm)</x:t>
        </x:is>
      </x:c>
      <x:c r="B44" s="159" t="n">
        <x:f>B13+NPV('3_Giả định'!$B$14/12,C13:Z13)</x:f>
        <x:v>15025096807.346426</x:v>
      </x:c>
      <x:c r="C44" s="159" t="n">
        <x:f>B25+NPV('3_Giả định'!$C$14/12,C25:Z25)</x:f>
        <x:v>3513140540.181813</x:v>
      </x:c>
      <x:c r="D44" s="159" t="n">
        <x:f>B37+NPV('3_Giả định'!$D$14/12,C37:Z37)</x:f>
        <x:v>-3233780896.3097405</x:v>
      </x:c>
      <x:c r="E44" s="111" t="inlineStr">
        <x:is>
          <x:t xml:space="preserve">&gt; 0</x:t>
        </x:is>
      </x:c>
    </x:row>
    <x:row r="45" s="112" customFormat="1" ht="15" customHeight="1">
      <x:c r="A45" s="158" t="inlineStr">
        <x:is>
          <x:t xml:space="preserve">Tỷ suất hoàn vốn nội bộ (IRR, quy ra năm)</x:t>
        </x:is>
      </x:c>
      <x:c r="B45" s="161" t="n">
        <x:f>IFERROR((1+IRR(B13:Z13,0.01))^12-1,"Không tính được")</x:f>
        <x:v>9.195327267073722</x:v>
      </x:c>
      <x:c r="C45" s="161" t="n">
        <x:f>IFERROR((1+IRR(B25:Z25,0.01))^12-1,"Không tính được")</x:f>
        <x:v>2.0407507860458276</x:v>
      </x:c>
      <x:c r="D45" s="161" t="str">
        <x:f>IFERROR((1+IRR(B37:Z37,0.01))^12-1,"Không tính được")</x:f>
        <x:v>Không tính được</x:v>
      </x:c>
      <x:c r="E45" s="111" t="inlineStr">
        <x:is>
          <x:t xml:space="preserve">&gt; chi phí vốn</x:t>
        </x:is>
      </x:c>
      <x:c r="F45" s="162" t="inlineStr">
        <x:is>
          <x:t xml:space="preserve">Lãi suất làm giá trị hiện tại ròng bằng 0; so với chi phí vốn 15%. Số rất lớn ở kịch bản lạc quan là do vốn quay về nhanh — chỉ dùng để so sánh, không đọc như lợi nhuận.</x:t>
        </x:is>
      </x:c>
    </x:row>
    <x:row r="46" s="112" customFormat="1" ht="15" customHeight="1">
      <x:c r="A46" s="158" t="inlineStr">
        <x:is>
          <x:t xml:space="preserve">Tiền mặt thấp nhất</x:t>
        </x:is>
      </x:c>
      <x:c r="B46" s="159" t="n">
        <x:f>MIN(B14:Z14)</x:f>
        <x:v>2018361464.429043</x:v>
      </x:c>
      <x:c r="C46" s="159" t="n">
        <x:f>MIN(B26:Z26)</x:f>
        <x:v>1727053471.073031</x:v>
      </x:c>
      <x:c r="D46" s="159" t="n">
        <x:f>MIN(B38:Z38)</x:f>
        <x:v>-584377719.7082083</x:v>
      </x:c>
      <x:c r="E46" s="111" t="inlineStr">
        <x:is>
          <x:t xml:space="preserve">&gt; 0</x:t>
        </x:is>
      </x:c>
    </x:row>
    <x:row r="47" s="112" customFormat="1" ht="15" customHeight="1">
      <x:c r="A47" s="158" t="inlineStr">
        <x:is>
          <x:t xml:space="preserve">Tháng hết tiền</x:t>
        </x:is>
      </x:c>
      <x:c r="B47" s="189" t="str">
        <x:f>IF('3_Giả định'!B7=0,"Chưa điền",IF(C14&lt;0,1,IF(D14&lt;0,2,IF(E14&lt;0,3,IF(F14&lt;0,4,IF(G14&lt;0,5,IF(H14&lt;0,6,IF(I14&lt;0,7,IF(J14&lt;0,8,IF(K14&lt;0,9,IF(L14&lt;0,10,IF(M14&lt;0,11,IF(N14&lt;0,12,IF(O14&lt;0,13,IF(P14&lt;0,14,IF(Q14&lt;0,15,IF(R14&lt;0,16,IF(S14&lt;0,17,IF(T14&lt;0,18,IF(U14&lt;0,19,IF(V14&lt;0,20,IF(W14&lt;0,21,IF(X14&lt;0,22,IF(Y14&lt;0,23,IF(Z14&lt;0,24,"Không hết tiền trong 24 tháng")))))))))))))))))))))))))</x:f>
        <x:v>Không hết tiền trong 24 tháng</x:v>
      </x:c>
      <x:c r="C47" s="189" t="str">
        <x:f>IF('3_Giả định'!C7=0,"Chưa điền",IF(C26&lt;0,1,IF(D26&lt;0,2,IF(E26&lt;0,3,IF(F26&lt;0,4,IF(G26&lt;0,5,IF(H26&lt;0,6,IF(I26&lt;0,7,IF(J26&lt;0,8,IF(K26&lt;0,9,IF(L26&lt;0,10,IF(M26&lt;0,11,IF(N26&lt;0,12,IF(O26&lt;0,13,IF(P26&lt;0,14,IF(Q26&lt;0,15,IF(R26&lt;0,16,IF(S26&lt;0,17,IF(T26&lt;0,18,IF(U26&lt;0,19,IF(V26&lt;0,20,IF(W26&lt;0,21,IF(X26&lt;0,22,IF(Y26&lt;0,23,IF(Z26&lt;0,24,"Không hết tiền trong 24 tháng")))))))))))))))))))))))))</x:f>
        <x:v>Không hết tiền trong 24 tháng</x:v>
      </x:c>
      <x:c r="D47" s="189" t="n">
        <x:f>IF('3_Giả định'!D7=0,"Chưa điền",IF(C38&lt;0,1,IF(D38&lt;0,2,IF(E38&lt;0,3,IF(F38&lt;0,4,IF(G38&lt;0,5,IF(H38&lt;0,6,IF(I38&lt;0,7,IF(J38&lt;0,8,IF(K38&lt;0,9,IF(L38&lt;0,10,IF(M38&lt;0,11,IF(N38&lt;0,12,IF(O38&lt;0,13,IF(P38&lt;0,14,IF(Q38&lt;0,15,IF(R38&lt;0,16,IF(S38&lt;0,17,IF(T38&lt;0,18,IF(U38&lt;0,19,IF(V38&lt;0,20,IF(W38&lt;0,21,IF(X38&lt;0,22,IF(Y38&lt;0,23,IF(Z38&lt;0,24,"Không hết tiền trong 24 tháng")))))))))))))))))))))))))</x:f>
        <x:v>17</x:v>
      </x:c>
      <x:c r="E47" s="111" t="inlineStr">
        <x:is>
          <x:t xml:space="preserve">Không hết trong 12 tháng đầu</x:t>
        </x:is>
      </x:c>
      <x:c r="F47" s="162" t="str">
        <x:v>Đã tính tháng đầu tiền mặt âm cho từng kịch bản.</x:v>
      </x:c>
    </x:row>
    <x:row r="48" s="112" customFormat="1" ht="15" customHeight="1">
      <x:c r="A48" s="158" t="inlineStr">
        <x:is>
          <x:t xml:space="preserve">Hoàn vốn dự án</x:t>
        </x:is>
      </x:c>
      <x:c r="B48" s="189" t="n">
        <x:f>IF('3_Giả định'!B7=0,"Chưa điền",IF(C15&gt;=0,1,IF(D15&gt;=0,2,IF(E15&gt;=0,3,IF(F15&gt;=0,4,IF(G15&gt;=0,5,IF(H15&gt;=0,6,IF(I15&gt;=0,7,IF(J15&gt;=0,8,IF(K15&gt;=0,9,IF(L15&gt;=0,10,IF(M15&gt;=0,11,IF(N15&gt;=0,12,IF(O15&gt;=0,13,IF(P15&gt;=0,14,IF(Q15&gt;=0,15,IF(R15&gt;=0,16,IF(S15&gt;=0,17,IF(T15&gt;=0,18,IF(U15&gt;=0,19,IF(V15&gt;=0,20,IF(W15&gt;=0,21,IF(X15&gt;=0,22,IF(Y15&gt;=0,23,IF(Z15&gt;=0,24,"Chưa hoàn vốn trong 24 tháng")))))))))))))))))))))))))</x:f>
        <x:v>10</x:v>
      </x:c>
      <x:c r="C48" s="189" t="n">
        <x:f>IF('3_Giả định'!C7=0,"Chưa điền",IF(C27&gt;=0,1,IF(D27&gt;=0,2,IF(E27&gt;=0,3,IF(F27&gt;=0,4,IF(G27&gt;=0,5,IF(H27&gt;=0,6,IF(I27&gt;=0,7,IF(J27&gt;=0,8,IF(K27&gt;=0,9,IF(L27&gt;=0,10,IF(M27&gt;=0,11,IF(N27&gt;=0,12,IF(O27&gt;=0,13,IF(P27&gt;=0,14,IF(Q27&gt;=0,15,IF(R27&gt;=0,16,IF(S27&gt;=0,17,IF(T27&gt;=0,18,IF(U27&gt;=0,19,IF(V27&gt;=0,20,IF(W27&gt;=0,21,IF(X27&gt;=0,22,IF(Y27&gt;=0,23,IF(Z27&gt;=0,24,"Chưa hoàn vốn trong 24 tháng")))))))))))))))))))))))))</x:f>
        <x:v>15</x:v>
      </x:c>
      <x:c r="D48" s="189" t="str">
        <x:f>IF('3_Giả định'!D7=0,"Chưa điền",IF(C39&gt;=0,1,IF(D39&gt;=0,2,IF(E39&gt;=0,3,IF(F39&gt;=0,4,IF(G39&gt;=0,5,IF(H39&gt;=0,6,IF(I39&gt;=0,7,IF(J39&gt;=0,8,IF(K39&gt;=0,9,IF(L39&gt;=0,10,IF(M39&gt;=0,11,IF(N39&gt;=0,12,IF(O39&gt;=0,13,IF(P39&gt;=0,14,IF(Q39&gt;=0,15,IF(R39&gt;=0,16,IF(S39&gt;=0,17,IF(T39&gt;=0,18,IF(U39&gt;=0,19,IF(V39&gt;=0,20,IF(W39&gt;=0,21,IF(X39&gt;=0,22,IF(Y39&gt;=0,23,IF(Z39&gt;=0,24,"Chưa hoàn vốn trong 24 tháng")))))))))))))))))))))))))</x:f>
        <x:v>Chưa hoàn vốn trong 24 tháng</x:v>
      </x:c>
      <x:c r="E48" s="111" t="inlineStr">
        <x:is>
          <x:t xml:space="preserve">&lt; 24 tháng</x:t>
        </x:is>
      </x:c>
    </x:row>
    <x:row r="49" s="112" customFormat="1" ht="15" customHeight="1">
      <x:c r="A49" s="158" t="inlineStr">
        <x:is>
          <x:t xml:space="preserve">Khách đang dùng tháng 24</x:t>
        </x:is>
      </x:c>
      <x:c r="B49" s="169" t="n">
        <x:f>Z7</x:f>
        <x:v>707.4343887972727</x:v>
      </x:c>
      <x:c r="C49" s="169" t="n">
        <x:f>Z19</x:f>
        <x:v>304.6218020981823</x:v>
      </x:c>
      <x:c r="D49" s="169" t="n">
        <x:f>Z31</x:f>
        <x:v>78.37162905775682</x:v>
      </x:c>
    </x:row>
    <x:row r="50" s="112" customFormat="1" ht="15" customHeight="1">
      <x:c r="A50" s="158" t="inlineStr">
        <x:is>
          <x:t xml:space="preserve">Doanh thu tháng 24</x:t>
        </x:is>
      </x:c>
      <x:c r="B50" s="159" t="n">
        <x:f>Z8</x:f>
        <x:v>4054306482.1971707</x:v>
      </x:c>
      <x:c r="C50" s="159" t="n">
        <x:f>Z20</x:f>
        <x:v>1587079588.9315298</x:v>
      </x:c>
      <x:c r="D50" s="159" t="n">
        <x:f>Z32</x:f>
        <x:v>326652949.91273046</x:v>
      </x:c>
    </x:row>
    <x:row r="53" s="112" customFormat="1" ht="15" customHeight="1">
      <x:c r="A53" s="188" t="inlineStr">
        <x:is>
          <x:t xml:space="preserve">BẢNG ĐỘ NHẠY (kịch bản cơ sở): làm xấu từng biến, mỗi lần một biến</x:t>
        </x:is>
      </x:c>
    </x:row>
    <x:row r="54" s="112" customFormat="1" ht="15" customHeight="1">
      <x:c r="A54" s="190" t="inlineStr">
        <x:is>
          <x:t xml:space="preserve">Mức làm xấu</x:t>
        </x:is>
      </x:c>
      <x:c r="B54" s="191" t="n">
        <x:v>0.2</x:v>
      </x:c>
      <x:c r="C54" s="162" t="inlineStr">
        <x:is>
          <x:t xml:space="preserve">Có thể đổi thành 10% hoặc 30% để thử</x:t>
        </x:is>
      </x:c>
    </x:row>
    <x:row r="56" s="112" customFormat="1" ht="45" customHeight="1">
      <x:c r="A56" s="192" t="inlineStr">
        <x:is>
          <x:t xml:space="preserve">Biến làm xấu</x:t>
        </x:is>
      </x:c>
      <x:c r="B56" s="193" t="inlineStr">
        <x:is>
          <x:t xml:space="preserve">Giá trị cơ sở</x:t>
        </x:is>
      </x:c>
      <x:c r="C56" s="193" t="inlineStr">
        <x:is>
          <x:t xml:space="preserve">Giá trị sau khi làm xấu</x:t>
        </x:is>
      </x:c>
      <x:c r="D56" s="193" t="inlineStr">
        <x:is>
          <x:t xml:space="preserve">Giá trị hiện tại ròng 24 tháng (triệu đồng)</x:t>
        </x:is>
      </x:c>
      <x:c r="E56" s="193" t="inlineStr">
        <x:is>
          <x:t xml:space="preserve">Chênh lệch so với cơ sở (triệu đồng)</x:t>
        </x:is>
      </x:c>
      <x:c r="F56" s="193" t="inlineStr">
        <x:is>
          <x:t xml:space="preserve">Tháng hết tiền</x:t>
        </x:is>
      </x:c>
      <x:c r="G56" s="193" t="inlineStr">
        <x:is>
          <x:t xml:space="preserve">Tháng hoàn vốn</x:t>
        </x:is>
      </x:c>
      <x:c r="H56" s="193" t="inlineStr">
        <x:is>
          <x:t xml:space="preserve">Mức nguy hiểm (1 = nhất)</x:t>
        </x:is>
      </x:c>
    </x:row>
    <x:row r="57" s="112" customFormat="1" ht="27.75" customHeight="1">
      <x:c r="A57" s="116" t="inlineStr">
        <x:is>
          <x:t xml:space="preserve">Không đổi (cơ sở)</x:t>
        </x:is>
      </x:c>
      <x:c r="B57" s="194" t="inlineStr">
        <x:is>
          <x:t xml:space="preserve">—</x:t>
        </x:is>
      </x:c>
      <x:c r="C57" s="194" t="inlineStr">
        <x:is>
          <x:t xml:space="preserve">—</x:t>
        </x:is>
      </x:c>
      <x:c r="D57" s="195" t="n">
        <x:f>(B94+NPV($K$80/12,C94:Z94))/1000000</x:f>
        <x:v>3513.140540181813</x:v>
      </x:c>
      <x:c r="E57" s="194" t="inlineStr">
        <x:is>
          <x:t xml:space="preserve">—</x:t>
        </x:is>
      </x:c>
      <x:c r="F57" s="196" t="str">
        <x:f>IF(C95&lt;0,1,IF(D95&lt;0,2,IF(E95&lt;0,3,IF(F95&lt;0,4,IF(G95&lt;0,5,IF(H95&lt;0,6,IF(I95&lt;0,7,IF(J95&lt;0,8,IF(K95&lt;0,9,IF(L95&lt;0,10,IF(M95&lt;0,11,IF(N95&lt;0,12,IF(O95&lt;0,13,IF(P95&lt;0,14,IF(Q95&lt;0,15,IF(R95&lt;0,16,IF(S95&lt;0,17,IF(T95&lt;0,18,IF(U95&lt;0,19,IF(V95&lt;0,20,IF(W95&lt;0,21,IF(X95&lt;0,22,IF(Y95&lt;0,23,IF(Z95&lt;0,24,"Không hết tiền trong 24 tháng"))))))))))))))))))))))))</x:f>
        <x:v>Không hết tiền trong 24 tháng</x:v>
      </x:c>
      <x:c r="G57" s="196" t="n">
        <x:f>IF(C96&gt;=0,1,IF(D96&gt;=0,2,IF(E96&gt;=0,3,IF(F96&gt;=0,4,IF(G96&gt;=0,5,IF(H96&gt;=0,6,IF(I96&gt;=0,7,IF(J96&gt;=0,8,IF(K96&gt;=0,9,IF(L96&gt;=0,10,IF(M96&gt;=0,11,IF(N96&gt;=0,12,IF(O96&gt;=0,13,IF(P96&gt;=0,14,IF(Q96&gt;=0,15,IF(R96&gt;=0,16,IF(S96&gt;=0,17,IF(T96&gt;=0,18,IF(U96&gt;=0,19,IF(V96&gt;=0,20,IF(W96&gt;=0,21,IF(X96&gt;=0,22,IF(Y96&gt;=0,23,IF(Z96&gt;=0,24,"Chưa hoàn vốn trong 24 tháng"))))))))))))))))))))))))</x:f>
        <x:v>15</x:v>
      </x:c>
    </x:row>
    <x:row r="58" s="112" customFormat="1" ht="27.75" customHeight="1">
      <x:c r="A58" s="190" t="inlineStr">
        <x:is>
          <x:t xml:space="preserve">Doanh thu bình quân giảm</x:t>
        </x:is>
      </x:c>
      <x:c r="B58" s="195" t="n">
        <x:f>'3_Giả định'!$C$17</x:f>
        <x:v>5210000</x:v>
      </x:c>
      <x:c r="C58" s="195" t="n">
        <x:f>B81</x:f>
        <x:v>4168000</x:v>
      </x:c>
      <x:c r="D58" s="195" t="n">
        <x:f>(B100+NPV($K$81/12,C100:Z100))/1000000</x:f>
        <x:v>606.907575675188</x:v>
      </x:c>
      <x:c r="E58" s="195" t="n">
        <x:f>D58-$D$57</x:f>
        <x:v>-2906.2329645066247</x:v>
      </x:c>
      <x:c r="F58" s="196" t="str">
        <x:f>IF(C101&lt;0,1,IF(D101&lt;0,2,IF(E101&lt;0,3,IF(F101&lt;0,4,IF(G101&lt;0,5,IF(H101&lt;0,6,IF(I101&lt;0,7,IF(J101&lt;0,8,IF(K101&lt;0,9,IF(L101&lt;0,10,IF(M101&lt;0,11,IF(N101&lt;0,12,IF(O101&lt;0,13,IF(P101&lt;0,14,IF(Q101&lt;0,15,IF(R101&lt;0,16,IF(S101&lt;0,17,IF(T101&lt;0,18,IF(U101&lt;0,19,IF(V101&lt;0,20,IF(W101&lt;0,21,IF(X101&lt;0,22,IF(Y101&lt;0,23,IF(Z101&lt;0,24,"Không hết tiền trong 24 tháng"))))))))))))))))))))))))</x:f>
        <x:v>Không hết tiền trong 24 tháng</x:v>
      </x:c>
      <x:c r="G58" s="196" t="n">
        <x:f>IF(C102&gt;=0,1,IF(D102&gt;=0,2,IF(E102&gt;=0,3,IF(F102&gt;=0,4,IF(G102&gt;=0,5,IF(H102&gt;=0,6,IF(I102&gt;=0,7,IF(J102&gt;=0,8,IF(K102&gt;=0,9,IF(L102&gt;=0,10,IF(M102&gt;=0,11,IF(N102&gt;=0,12,IF(O102&gt;=0,13,IF(P102&gt;=0,14,IF(Q102&gt;=0,15,IF(R102&gt;=0,16,IF(S102&gt;=0,17,IF(T102&gt;=0,18,IF(U102&gt;=0,19,IF(V102&gt;=0,20,IF(W102&gt;=0,21,IF(X102&gt;=0,22,IF(Y102&gt;=0,23,IF(Z102&gt;=0,24,"Chưa hoàn vốn trong 24 tháng"))))))))))))))))))))))))</x:f>
        <x:v>21</x:v>
      </x:c>
      <x:c r="H58" s="197" t="n">
        <x:f>RANK(D58,$D$58:$D$64,1)</x:f>
        <x:v>1</x:v>
      </x:c>
    </x:row>
    <x:row r="59" s="112" customFormat="1" ht="27.75" customHeight="1">
      <x:c r="A59" s="190" t="inlineStr">
        <x:is>
          <x:t xml:space="preserve">Chi phí AI tăng</x:t>
        </x:is>
      </x:c>
      <x:c r="B59" s="195" t="n">
        <x:f>'3_Giả định'!$C$18</x:f>
        <x:v>1619398.0000000002</x:v>
      </x:c>
      <x:c r="C59" s="195" t="n">
        <x:f>C82</x:f>
        <x:v>1943277.6</x:v>
      </x:c>
      <x:c r="D59" s="195" t="n">
        <x:f>(B106+NPV($K$82/12,C106:Z106))/1000000</x:f>
        <x:v>2609.810818443598</x:v>
      </x:c>
      <x:c r="E59" s="195" t="n">
        <x:f>D59-$D$57</x:f>
        <x:v>-903.3297217382151</x:v>
      </x:c>
      <x:c r="F59" s="196" t="str">
        <x:f>IF(C107&lt;0,1,IF(D107&lt;0,2,IF(E107&lt;0,3,IF(F107&lt;0,4,IF(G107&lt;0,5,IF(H107&lt;0,6,IF(I107&lt;0,7,IF(J107&lt;0,8,IF(K107&lt;0,9,IF(L107&lt;0,10,IF(M107&lt;0,11,IF(N107&lt;0,12,IF(O107&lt;0,13,IF(P107&lt;0,14,IF(Q107&lt;0,15,IF(R107&lt;0,16,IF(S107&lt;0,17,IF(T107&lt;0,18,IF(U107&lt;0,19,IF(V107&lt;0,20,IF(W107&lt;0,21,IF(X107&lt;0,22,IF(Y107&lt;0,23,IF(Z107&lt;0,24,"Không hết tiền trong 24 tháng"))))))))))))))))))))))))</x:f>
        <x:v>Không hết tiền trong 24 tháng</x:v>
      </x:c>
      <x:c r="G59" s="196" t="n">
        <x:f>IF(C108&gt;=0,1,IF(D108&gt;=0,2,IF(E108&gt;=0,3,IF(F108&gt;=0,4,IF(G108&gt;=0,5,IF(H108&gt;=0,6,IF(I108&gt;=0,7,IF(J108&gt;=0,8,IF(K108&gt;=0,9,IF(L108&gt;=0,10,IF(M108&gt;=0,11,IF(N108&gt;=0,12,IF(O108&gt;=0,13,IF(P108&gt;=0,14,IF(Q108&gt;=0,15,IF(R108&gt;=0,16,IF(S108&gt;=0,17,IF(T108&gt;=0,18,IF(U108&gt;=0,19,IF(V108&gt;=0,20,IF(W108&gt;=0,21,IF(X108&gt;=0,22,IF(Y108&gt;=0,23,IF(Z108&gt;=0,24,"Chưa hoàn vốn trong 24 tháng"))))))))))))))))))))))))</x:f>
        <x:v>17</x:v>
      </x:c>
      <x:c r="H59" s="197" t="n">
        <x:f>RANK(D59,$D$58:$D$64,1)</x:f>
        <x:v>3</x:v>
      </x:c>
    </x:row>
    <x:row r="60" s="112" customFormat="1" ht="27.75" customHeight="1">
      <x:c r="A60" s="190" t="inlineStr">
        <x:is>
          <x:t xml:space="preserve">Tỷ lệ rời bỏ tăng</x:t>
        </x:is>
      </x:c>
      <x:c r="B60" s="198" t="n">
        <x:f>'3_Giả định'!$C$9</x:f>
        <x:v>0.045</x:v>
      </x:c>
      <x:c r="C60" s="198" t="n">
        <x:f>F83</x:f>
        <x:v>0.054</x:v>
      </x:c>
      <x:c r="D60" s="195" t="n">
        <x:f>(B112+NPV($K$83/12,C112:Z112))/1000000</x:f>
        <x:v>3021.6174212999936</x:v>
      </x:c>
      <x:c r="E60" s="195" t="n">
        <x:f>D60-$D$57</x:f>
        <x:v>-491.5231188818193</x:v>
      </x:c>
      <x:c r="F60" s="196" t="str">
        <x:f>IF(C113&lt;0,1,IF(D113&lt;0,2,IF(E113&lt;0,3,IF(F113&lt;0,4,IF(G113&lt;0,5,IF(H113&lt;0,6,IF(I113&lt;0,7,IF(J113&lt;0,8,IF(K113&lt;0,9,IF(L113&lt;0,10,IF(M113&lt;0,11,IF(N113&lt;0,12,IF(O113&lt;0,13,IF(P113&lt;0,14,IF(Q113&lt;0,15,IF(R113&lt;0,16,IF(S113&lt;0,17,IF(T113&lt;0,18,IF(U113&lt;0,19,IF(V113&lt;0,20,IF(W113&lt;0,21,IF(X113&lt;0,22,IF(Y113&lt;0,23,IF(Z113&lt;0,24,"Không hết tiền trong 24 tháng"))))))))))))))))))))))))</x:f>
        <x:v>Không hết tiền trong 24 tháng</x:v>
      </x:c>
      <x:c r="G60" s="196" t="n">
        <x:f>IF(C114&gt;=0,1,IF(D114&gt;=0,2,IF(E114&gt;=0,3,IF(F114&gt;=0,4,IF(G114&gt;=0,5,IF(H114&gt;=0,6,IF(I114&gt;=0,7,IF(J114&gt;=0,8,IF(K114&gt;=0,9,IF(L114&gt;=0,10,IF(M114&gt;=0,11,IF(N114&gt;=0,12,IF(O114&gt;=0,13,IF(P114&gt;=0,14,IF(Q114&gt;=0,15,IF(R114&gt;=0,16,IF(S114&gt;=0,17,IF(T114&gt;=0,18,IF(U114&gt;=0,19,IF(V114&gt;=0,20,IF(W114&gt;=0,21,IF(X114&gt;=0,22,IF(Y114&gt;=0,23,IF(Z114&gt;=0,24,"Chưa hoàn vốn trong 24 tháng"))))))))))))))))))))))))</x:f>
        <x:v>16</x:v>
      </x:c>
      <x:c r="H60" s="197" t="n">
        <x:f>RANK(D60,$D$58:$D$64,1)</x:f>
        <x:v>7</x:v>
      </x:c>
    </x:row>
    <x:row r="61" s="112" customFormat="1" ht="27.75" customHeight="1">
      <x:c r="A61" s="190" t="inlineStr">
        <x:is>
          <x:t xml:space="preserve">Chi phí có một khách tăng</x:t>
        </x:is>
      </x:c>
      <x:c r="B61" s="195" t="n">
        <x:f>'3_Giả định'!$C$10</x:f>
        <x:v>7000000</x:v>
      </x:c>
      <x:c r="C61" s="195" t="n">
        <x:f>G84</x:f>
        <x:v>8400000</x:v>
      </x:c>
      <x:c r="D61" s="195" t="n">
        <x:f>(B118+NPV($K$84/12,C118:Z118))/1000000</x:f>
        <x:v>2992.840909819824</x:v>
      </x:c>
      <x:c r="E61" s="195" t="n">
        <x:f>D61-$D$57</x:f>
        <x:v>-520.2996303619889</x:v>
      </x:c>
      <x:c r="F61" s="196" t="str">
        <x:f>IF(C119&lt;0,1,IF(D119&lt;0,2,IF(E119&lt;0,3,IF(F119&lt;0,4,IF(G119&lt;0,5,IF(H119&lt;0,6,IF(I119&lt;0,7,IF(J119&lt;0,8,IF(K119&lt;0,9,IF(L119&lt;0,10,IF(M119&lt;0,11,IF(N119&lt;0,12,IF(O119&lt;0,13,IF(P119&lt;0,14,IF(Q119&lt;0,15,IF(R119&lt;0,16,IF(S119&lt;0,17,IF(T119&lt;0,18,IF(U119&lt;0,19,IF(V119&lt;0,20,IF(W119&lt;0,21,IF(X119&lt;0,22,IF(Y119&lt;0,23,IF(Z119&lt;0,24,"Không hết tiền trong 24 tháng"))))))))))))))))))))))))</x:f>
        <x:v>Không hết tiền trong 24 tháng</x:v>
      </x:c>
      <x:c r="G61" s="196" t="n">
        <x:f>IF(C120&gt;=0,1,IF(D120&gt;=0,2,IF(E120&gt;=0,3,IF(F120&gt;=0,4,IF(G120&gt;=0,5,IF(H120&gt;=0,6,IF(I120&gt;=0,7,IF(J120&gt;=0,8,IF(K120&gt;=0,9,IF(L120&gt;=0,10,IF(M120&gt;=0,11,IF(N120&gt;=0,12,IF(O120&gt;=0,13,IF(P120&gt;=0,14,IF(Q120&gt;=0,15,IF(R120&gt;=0,16,IF(S120&gt;=0,17,IF(T120&gt;=0,18,IF(U120&gt;=0,19,IF(V120&gt;=0,20,IF(W120&gt;=0,21,IF(X120&gt;=0,22,IF(Y120&gt;=0,23,IF(Z120&gt;=0,24,"Chưa hoàn vốn trong 24 tháng"))))))))))))))))))))))))</x:f>
        <x:v>16</x:v>
      </x:c>
      <x:c r="H61" s="197" t="n">
        <x:f>RANK(D61,$D$58:$D$64,1)</x:f>
        <x:v>6</x:v>
      </x:c>
    </x:row>
    <x:row r="62" s="112" customFormat="1" ht="27.75" customHeight="1">
      <x:c r="A62" s="190" t="inlineStr">
        <x:is>
          <x:t xml:space="preserve">Khách mới tháng đầu giảm</x:t>
        </x:is>
      </x:c>
      <x:c r="B62" s="199" t="n">
        <x:f>'3_Giả định'!$C$7</x:f>
        <x:v>10</x:v>
      </x:c>
      <x:c r="C62" s="199" t="n">
        <x:f>D85</x:f>
        <x:v>8</x:v>
      </x:c>
      <x:c r="D62" s="195" t="n">
        <x:f>(B124+NPV($K$85/12,C124:Z124))/1000000</x:f>
        <x:v>2030.536927775393</x:v>
      </x:c>
      <x:c r="E62" s="195" t="n">
        <x:f>D62-$D$57</x:f>
        <x:v>-1482.6036124064199</x:v>
      </x:c>
      <x:c r="F62" s="196" t="str">
        <x:f>IF(C125&lt;0,1,IF(D125&lt;0,2,IF(E125&lt;0,3,IF(F125&lt;0,4,IF(G125&lt;0,5,IF(H125&lt;0,6,IF(I125&lt;0,7,IF(J125&lt;0,8,IF(K125&lt;0,9,IF(L125&lt;0,10,IF(M125&lt;0,11,IF(N125&lt;0,12,IF(O125&lt;0,13,IF(P125&lt;0,14,IF(Q125&lt;0,15,IF(R125&lt;0,16,IF(S125&lt;0,17,IF(T125&lt;0,18,IF(U125&lt;0,19,IF(V125&lt;0,20,IF(W125&lt;0,21,IF(X125&lt;0,22,IF(Y125&lt;0,23,IF(Z125&lt;0,24,"Không hết tiền trong 24 tháng"))))))))))))))))))))))))</x:f>
        <x:v>Không hết tiền trong 24 tháng</x:v>
      </x:c>
      <x:c r="G62" s="196" t="n">
        <x:f>IF(C126&gt;=0,1,IF(D126&gt;=0,2,IF(E126&gt;=0,3,IF(F126&gt;=0,4,IF(G126&gt;=0,5,IF(H126&gt;=0,6,IF(I126&gt;=0,7,IF(J126&gt;=0,8,IF(K126&gt;=0,9,IF(L126&gt;=0,10,IF(M126&gt;=0,11,IF(N126&gt;=0,12,IF(O126&gt;=0,13,IF(P126&gt;=0,14,IF(Q126&gt;=0,15,IF(R126&gt;=0,16,IF(S126&gt;=0,17,IF(T126&gt;=0,18,IF(U126&gt;=0,19,IF(V126&gt;=0,20,IF(W126&gt;=0,21,IF(X126&gt;=0,22,IF(Y126&gt;=0,23,IF(Z126&gt;=0,24,"Chưa hoàn vốn trong 24 tháng"))))))))))))))))))))))))</x:f>
        <x:v>18</x:v>
      </x:c>
      <x:c r="H62" s="197" t="n">
        <x:f>RANK(D62,$D$58:$D$64,1)</x:f>
        <x:v>2</x:v>
      </x:c>
    </x:row>
    <x:row r="63" s="112" customFormat="1" ht="27.75" customHeight="1">
      <x:c r="A63" s="190" t="inlineStr">
        <x:is>
          <x:t xml:space="preserve">Tăng trưởng khách mới giảm</x:t>
        </x:is>
      </x:c>
      <x:c r="B63" s="198" t="n">
        <x:f>'3_Giả định'!$C$8</x:f>
        <x:v>0.05</x:v>
      </x:c>
      <x:c r="C63" s="198" t="n">
        <x:f>E86</x:f>
        <x:v>0.04000000000000001</x:v>
      </x:c>
      <x:c r="D63" s="195" t="n">
        <x:f>(B130+NPV($K$86/12,C130:Z130))/1000000</x:f>
        <x:v>2928.9207326115848</x:v>
      </x:c>
      <x:c r="E63" s="195" t="n">
        <x:f>D63-$D$57</x:f>
        <x:v>-584.2198075702281</x:v>
      </x:c>
      <x:c r="F63" s="196" t="str">
        <x:f>IF(C131&lt;0,1,IF(D131&lt;0,2,IF(E131&lt;0,3,IF(F131&lt;0,4,IF(G131&lt;0,5,IF(H131&lt;0,6,IF(I131&lt;0,7,IF(J131&lt;0,8,IF(K131&lt;0,9,IF(L131&lt;0,10,IF(M131&lt;0,11,IF(N131&lt;0,12,IF(O131&lt;0,13,IF(P131&lt;0,14,IF(Q131&lt;0,15,IF(R131&lt;0,16,IF(S131&lt;0,17,IF(T131&lt;0,18,IF(U131&lt;0,19,IF(V131&lt;0,20,IF(W131&lt;0,21,IF(X131&lt;0,22,IF(Y131&lt;0,23,IF(Z131&lt;0,24,"Không hết tiền trong 24 tháng"))))))))))))))))))))))))</x:f>
        <x:v>Không hết tiền trong 24 tháng</x:v>
      </x:c>
      <x:c r="G63" s="196" t="n">
        <x:f>IF(C132&gt;=0,1,IF(D132&gt;=0,2,IF(E132&gt;=0,3,IF(F132&gt;=0,4,IF(G132&gt;=0,5,IF(H132&gt;=0,6,IF(I132&gt;=0,7,IF(J132&gt;=0,8,IF(K132&gt;=0,9,IF(L132&gt;=0,10,IF(M132&gt;=0,11,IF(N132&gt;=0,12,IF(O132&gt;=0,13,IF(P132&gt;=0,14,IF(Q132&gt;=0,15,IF(R132&gt;=0,16,IF(S132&gt;=0,17,IF(T132&gt;=0,18,IF(U132&gt;=0,19,IF(V132&gt;=0,20,IF(W132&gt;=0,21,IF(X132&gt;=0,22,IF(Y132&gt;=0,23,IF(Z132&gt;=0,24,"Chưa hoàn vốn trong 24 tháng"))))))))))))))))))))))))</x:f>
        <x:v>16</x:v>
      </x:c>
      <x:c r="H63" s="197" t="n">
        <x:f>RANK(D63,$D$58:$D$64,1)</x:f>
        <x:v>5</x:v>
      </x:c>
    </x:row>
    <x:row r="64" s="112" customFormat="1" ht="27.75" customHeight="1">
      <x:c r="A64" s="190" t="inlineStr">
        <x:is>
          <x:t xml:space="preserve">Chi phí cố định tăng</x:t>
        </x:is>
      </x:c>
      <x:c r="B64" s="195" t="n">
        <x:f>'3_Giả định'!$C$11</x:f>
        <x:v>160000000</x:v>
      </x:c>
      <x:c r="C64" s="195" t="n">
        <x:f>H87</x:f>
        <x:v>192000000</x:v>
      </x:c>
      <x:c r="D64" s="195" t="n">
        <x:f>(B136+NPV($K$87/12,C136:Z136))/1000000</x:f>
        <x:v>2853.165035811754</x:v>
      </x:c>
      <x:c r="E64" s="195" t="n">
        <x:f>D64-$D$57</x:f>
        <x:v>-659.9755043700588</x:v>
      </x:c>
      <x:c r="F64" s="196" t="str">
        <x:f>IF(C137&lt;0,1,IF(D137&lt;0,2,IF(E137&lt;0,3,IF(F137&lt;0,4,IF(G137&lt;0,5,IF(H137&lt;0,6,IF(I137&lt;0,7,IF(J137&lt;0,8,IF(K137&lt;0,9,IF(L137&lt;0,10,IF(M137&lt;0,11,IF(N137&lt;0,12,IF(O137&lt;0,13,IF(P137&lt;0,14,IF(Q137&lt;0,15,IF(R137&lt;0,16,IF(S137&lt;0,17,IF(T137&lt;0,18,IF(U137&lt;0,19,IF(V137&lt;0,20,IF(W137&lt;0,21,IF(X137&lt;0,22,IF(Y137&lt;0,23,IF(Z137&lt;0,24,"Không hết tiền trong 24 tháng"))))))))))))))))))))))))</x:f>
        <x:v>Không hết tiền trong 24 tháng</x:v>
      </x:c>
      <x:c r="G64" s="196" t="n">
        <x:f>IF(C138&gt;=0,1,IF(D138&gt;=0,2,IF(E138&gt;=0,3,IF(F138&gt;=0,4,IF(G138&gt;=0,5,IF(H138&gt;=0,6,IF(I138&gt;=0,7,IF(J138&gt;=0,8,IF(K138&gt;=0,9,IF(L138&gt;=0,10,IF(M138&gt;=0,11,IF(N138&gt;=0,12,IF(O138&gt;=0,13,IF(P138&gt;=0,14,IF(Q138&gt;=0,15,IF(R138&gt;=0,16,IF(S138&gt;=0,17,IF(T138&gt;=0,18,IF(U138&gt;=0,19,IF(V138&gt;=0,20,IF(W138&gt;=0,21,IF(X138&gt;=0,22,IF(Y138&gt;=0,23,IF(Z138&gt;=0,24,"Chưa hoàn vốn trong 24 tháng"))))))))))))))))))))))))</x:f>
        <x:v>17</x:v>
      </x:c>
      <x:c r="H64" s="197" t="n">
        <x:f>RANK(D64,$D$58:$D$64,1)</x:f>
        <x:v>4</x:v>
      </x:c>
    </x:row>
    <x:row r="66" s="112" customFormat="1" ht="15" customHeight="1">
      <x:c r="A66" s="116" t="inlineStr">
        <x:is>
          <x:t xml:space="preserve">Biến nguy hiểm nhất</x:t>
        </x:is>
      </x:c>
      <x:c r="B66" s="200" t="str">
        <x:f>IF(MAX(D58:D64)-MIN(D58:D64)&lt;0.5,"Chưa đủ số liệu",INDEX(A58:A64,MATCH(MIN(D58:D64),D58:D64,0)))</x:f>
        <x:v>Doanh thu bình quân giảm</x:v>
      </x:c>
    </x:row>
    <x:row r="68" s="112" customFormat="1" ht="31.5" customHeight="1">
      <x:c r="A68" s="201" t="inlineStr">
        <x:is>
          <x:t xml:space="preserve">Tình huống: khách dùng nhiều bỏ đi, thay bằng khách thường</x:t>
        </x:is>
      </x:c>
      <x:c r="B68" s="194" t="inlineStr">
        <x:is>
          <x:t xml:space="preserve">—</x:t>
        </x:is>
      </x:c>
      <x:c r="C68" s="194" t="inlineStr">
        <x:is>
          <x:t xml:space="preserve">—</x:t>
        </x:is>
      </x:c>
      <x:c r="D68" s="195" t="n">
        <x:f>(B142+NPV($K$88/12,C142:Z142))/1000000</x:f>
        <x:v>-57.73563130647469</x:v>
      </x:c>
      <x:c r="E68" s="195" t="n">
        <x:f>D68-$D$57</x:f>
        <x:v>-3570.8761714882876</x:v>
      </x:c>
      <x:c r="F68" s="196" t="str">
        <x:f>IF(C143&lt;0,1,IF(D143&lt;0,2,IF(E143&lt;0,3,IF(F143&lt;0,4,IF(G143&lt;0,5,IF(H143&lt;0,6,IF(I143&lt;0,7,IF(J143&lt;0,8,IF(K143&lt;0,9,IF(L143&lt;0,10,IF(M143&lt;0,11,IF(N143&lt;0,12,IF(O143&lt;0,13,IF(P143&lt;0,14,IF(Q143&lt;0,15,IF(R143&lt;0,16,IF(S143&lt;0,17,IF(T143&lt;0,18,IF(U143&lt;0,19,IF(V143&lt;0,20,IF(W143&lt;0,21,IF(X143&lt;0,22,IF(Y143&lt;0,23,IF(Z143&lt;0,24,"Không hết tiền trong 24 tháng"))))))))))))))))))))))))</x:f>
        <x:v>Không hết tiền trong 24 tháng</x:v>
      </x:c>
      <x:c r="G68" s="196" t="n">
        <x:f>IF(C144&gt;=0,1,IF(D144&gt;=0,2,IF(E144&gt;=0,3,IF(F144&gt;=0,4,IF(G144&gt;=0,5,IF(H144&gt;=0,6,IF(I144&gt;=0,7,IF(J144&gt;=0,8,IF(K144&gt;=0,9,IF(L144&gt;=0,10,IF(M144&gt;=0,11,IF(N144&gt;=0,12,IF(O144&gt;=0,13,IF(P144&gt;=0,14,IF(Q144&gt;=0,15,IF(R144&gt;=0,16,IF(S144&gt;=0,17,IF(T144&gt;=0,18,IF(U144&gt;=0,19,IF(V144&gt;=0,20,IF(W144&gt;=0,21,IF(X144&gt;=0,22,IF(Y144&gt;=0,23,IF(Z144&gt;=0,24,"Chưa hoàn vốn trong 24 tháng"))))))))))))))))))))))))</x:f>
        <x:v>23</x:v>
      </x:c>
    </x:row>
    <x:row r="69" s="112" customFormat="1" ht="15" customHeight="1">
      <x:c r="A69" s="162" t="str">
        <x:v>Đã xác định doanh thu bình quân giảm là biến nhạy nhất và đưa vào luật xử lý ở sheet 7.</x:v>
      </x:c>
    </x:row>
    <x:row r="70" s="112" customFormat="1" ht="15" customHeight="1">
      <x:c r="A70" s="188" t="str">
        <x:v>MỨC CẢNH BÁO TỰ TÍNH: đã sử dụng trong quyết định ở sheet 7.</x:v>
      </x:c>
    </x:row>
    <x:row r="71" s="112" customFormat="1" ht="45" customHeight="1">
      <x:c r="A71" s="125" t="inlineStr">
        <x:is>
          <x:t xml:space="preserve">Chỉ số</x:t>
        </x:is>
      </x:c>
      <x:c r="B71" s="125" t="inlineStr">
        <x:is>
          <x:t xml:space="preserve">Cơ sở hiện tại</x:t>
        </x:is>
      </x:c>
      <x:c r="C71" s="125" t="inlineStr">
        <x:is>
          <x:t xml:space="preserve">Mức hoà vốn (giá trị hiện tại ròng 24 tháng = 0)</x:t>
        </x:is>
      </x:c>
      <x:c r="D71" s="166" t="inlineStr">
        <x:is>
          <x:t xml:space="preserve">Còn cách (so với hiện tại)</x:t>
        </x:is>
      </x:c>
      <x:c r="E71" s="125" t="inlineStr">
        <x:is>
          <x:t xml:space="preserve">Cách dùng trong bảng theo dõi Ngày 23</x:t>
        </x:is>
      </x:c>
    </x:row>
    <x:row r="72" s="112" customFormat="1" ht="15" customHeight="1">
      <x:c r="A72" s="132" t="inlineStr">
        <x:is>
          <x:t xml:space="preserve">Doanh thu bình quân / khách / tháng (VND)</x:t>
        </x:is>
      </x:c>
      <x:c r="B72" s="134" t="n">
        <x:f>'3_Giả định'!C17</x:f>
        <x:v>5210000</x:v>
      </x:c>
      <x:c r="C72" s="136" t="n">
        <x:f>IFERROR(B72*(1-$B$54*$D$57/($D$57-$D$58)),"")</x:f>
        <x:v>3950399.5180094223</x:v>
      </x:c>
      <x:c r="D72" s="138" t="n">
        <x:f>IFERROR(C72/B72-1,"")</x:f>
        <x:v>-0.24176592744540837</x:v>
      </x:c>
      <x:c r="E72" s="132" t="inlineStr">
        <x:is>
          <x:t xml:space="preserve">Dưới mức này là "nguy"</x:t>
        </x:is>
      </x:c>
      <x:c r="F72" s="202" t="n"/>
      <x:c r="G72" s="202" t="n"/>
      <x:c r="H72" s="203" t="n"/>
    </x:row>
    <x:row r="73" s="112" customFormat="1" ht="15" customHeight="1">
      <x:c r="A73" s="132" t="inlineStr">
        <x:is>
          <x:t xml:space="preserve">Biên lợi nhuận gộp</x:t>
        </x:is>
      </x:c>
      <x:c r="B73" s="204" t="n">
        <x:f>'4_Chỉ số mỗi khách'!C7</x:f>
        <x:v>0.6891750479846449</x:v>
      </x:c>
      <x:c r="C73" s="175" t="n">
        <x:f>IFERROR(1-('3_Giả định'!C18*(1+$B$54*$D$57/($D$57-$D$59)))/'3_Giả định'!C17,"")</x:f>
        <x:v>0.44740912053923654</x:v>
      </x:c>
      <x:c r="D73" s="204" t="n">
        <x:f>IFERROR(C73-B73,"")</x:f>
        <x:v>-0.24176592744540837</x:v>
      </x:c>
      <x:c r="E73" s="132" t="inlineStr">
        <x:is>
          <x:t xml:space="preserve">Dưới mức này là "nguy". Ngày 22 nói 60%: đây là con số của chính mô hình</x:t>
        </x:is>
      </x:c>
      <x:c r="F73" s="202" t="n"/>
      <x:c r="G73" s="202" t="n"/>
      <x:c r="H73" s="203" t="n"/>
    </x:row>
    <x:row r="74" s="112" customFormat="1" ht="15" customHeight="1">
      <x:c r="A74" s="132" t="inlineStr">
        <x:is>
          <x:t xml:space="preserve">Chi phí có một khách tối đa (VND)</x:t>
        </x:is>
      </x:c>
      <x:c r="B74" s="134" t="n">
        <x:f>'3_Giả định'!C10</x:f>
        <x:v>7000000</x:v>
      </x:c>
      <x:c r="C74" s="136" t="n">
        <x:f>IFERROR(B74*(1+$B$54*$D$57/($D$57-$D$61)),"")</x:f>
        <x:v>16453008.361417929</x:v>
      </x:c>
      <x:c r="D74" s="138" t="n">
        <x:f>IFERROR(C74/B74-1,"")</x:f>
        <x:v>1.350429765916847</x:v>
      </x:c>
      <x:c r="E74" s="137" t="str">
        <x:f>IFERROR("Trên mức này là 'nguy'. Tương ứng LTV ÷ CAC = "&amp;ROUND('4_Chỉ số mỗi khách'!C9/C74,1)&amp;", không phải 3","")</x:f>
        <x:v>Trên mức này là 'nguy'. Tương ứng LTV ÷ CAC = 4.8, không phải 3</x:v>
      </x:c>
      <x:c r="F74" s="202" t="n"/>
      <x:c r="G74" s="202" t="n"/>
      <x:c r="H74" s="203" t="n"/>
    </x:row>
    <x:row r="75" s="112" customFormat="1" ht="15" customHeight="1">
      <x:c r="A75" s="132" t="inlineStr">
        <x:is>
          <x:t xml:space="preserve">Khách mới tháng đầu tối thiểu</x:t>
        </x:is>
      </x:c>
      <x:c r="B75" s="205" t="n">
        <x:f>'3_Giả định'!C7</x:f>
        <x:v>10</x:v>
      </x:c>
      <x:c r="C75" s="206" t="n">
        <x:f>IFERROR(B75*(1-$B$54*$D$57/($D$57-$D$62)),"")</x:f>
        <x:v>5.260849884913446</x:v>
      </x:c>
      <x:c r="D75" s="138" t="n">
        <x:f>IFERROR(C75/B75-1,"")</x:f>
        <x:v>-0.47391501150865545</x:v>
      </x:c>
      <x:c r="E75" s="132" t="str">
        <x:v>Đã làm tròn lên 6 trung tâm mới trong tháng đầu.</x:v>
      </x:c>
      <x:c r="F75" s="202" t="n"/>
      <x:c r="G75" s="202" t="n"/>
      <x:c r="H75" s="203" t="n"/>
    </x:row>
    <x:row r="76" s="112" customFormat="1" ht="15" customHeight="1">
      <x:c r="A76" s="132" t="inlineStr">
        <x:is>
          <x:t xml:space="preserve">Chi phí cố định tối đa / tháng (VND)</x:t>
        </x:is>
      </x:c>
      <x:c r="B76" s="134" t="n">
        <x:f>'3_Giả định'!C11</x:f>
        <x:v>160000000</x:v>
      </x:c>
      <x:c r="C76" s="136" t="n">
        <x:f>IFERROR(B76*(1+$B$54*$D$57/($D$57-$D$64)),"")</x:f>
        <x:v>330340408.9112708</x:v>
      </x:c>
      <x:c r="D76" s="138" t="n">
        <x:f>IFERROR(C76/B76-1,"")</x:f>
        <x:v>1.0646275556954423</x:v>
      </x:c>
      <x:c r="E76" s="132" t="inlineStr">
        <x:is>
          <x:t xml:space="preserve">Trần chi cho đội và văn phòng</x:t>
        </x:is>
      </x:c>
      <x:c r="F76" s="202" t="n"/>
      <x:c r="G76" s="202" t="n"/>
      <x:c r="H76" s="203" t="n"/>
    </x:row>
    <x:row r="77" s="112" customFormat="1" ht="15" customHeight="1">
      <x:c r="A77" s="132" t="inlineStr">
        <x:is>
          <x:t xml:space="preserve">Tỷ lệ chia doanh thu cho đối tác tối đa</x:t>
        </x:is>
      </x:c>
      <x:c r="B77" s="204" t="n">
        <x:f>'2_Định giá'!B27</x:f>
        <x:v>0.2</x:v>
      </x:c>
      <x:c r="C77" s="175" t="n">
        <x:f>IFERROR(1-C72/('2_Định giá'!D17*'3_Giả định'!C5),"")</x:f>
        <x:v>0.3934127419563267</x:v>
      </x:c>
      <x:c r="D77" s="204" t="n">
        <x:f>IFERROR(C77-B77,"")</x:f>
        <x:v>0.19341274195632668</x:v>
      </x:c>
      <x:c r="E77" s="132" t="inlineStr">
        <x:is>
          <x:t xml:space="preserve">Trần khi đàm phán với đối tác. Ngày 23 chỉ đòi biên sau chia trên 50%</x:t>
        </x:is>
      </x:c>
      <x:c r="F77" s="202" t="n"/>
      <x:c r="G77" s="202" t="n"/>
      <x:c r="H77" s="203" t="n"/>
    </x:row>
    <x:row r="78" s="112" customFormat="1" ht="15" customHeight="1">
      <x:c r="A78" s="207" t="inlineStr">
        <x:is>
          <x:t xml:space="preserve">BẢNG TÍNH PHỤ CHO ĐỘ NHẠY — đã ẩn, không cần đọc</x:t>
        </x:is>
      </x:c>
    </x:row>
    <x:row r="79" s="112" customFormat="1" ht="15" hidden="1" customHeight="1">
      <x:c r="A79" s="207" t="inlineStr">
        <x:is>
          <x:t xml:space="preserve">Kịch bản</x:t>
        </x:is>
      </x:c>
      <x:c r="B79" s="207" t="inlineStr">
        <x:is>
          <x:t xml:space="preserve">Doanh thu bình quân</x:t>
        </x:is>
      </x:c>
      <x:c r="C79" s="207" t="inlineStr">
        <x:is>
          <x:t xml:space="preserve">Chi phí AI / khách</x:t>
        </x:is>
      </x:c>
      <x:c r="D79" s="207" t="inlineStr">
        <x:is>
          <x:t xml:space="preserve">Khách mới tháng 1</x:t>
        </x:is>
      </x:c>
      <x:c r="E79" s="207" t="inlineStr">
        <x:is>
          <x:t xml:space="preserve">Tăng trưởng</x:t>
        </x:is>
      </x:c>
      <x:c r="F79" s="207" t="inlineStr">
        <x:is>
          <x:t xml:space="preserve">Tỷ lệ rời bỏ</x:t>
        </x:is>
      </x:c>
      <x:c r="G79" s="207" t="inlineStr">
        <x:is>
          <x:t xml:space="preserve">Chi phí có khách</x:t>
        </x:is>
      </x:c>
      <x:c r="H79" s="207" t="inlineStr">
        <x:is>
          <x:t xml:space="preserve">Chi phí cố định</x:t>
        </x:is>
      </x:c>
      <x:c r="I79" s="207" t="inlineStr">
        <x:is>
          <x:t xml:space="preserve">Chi phí xây dựng</x:t>
        </x:is>
      </x:c>
      <x:c r="J79" s="207" t="inlineStr">
        <x:is>
          <x:t xml:space="preserve">Tiền mặt</x:t>
        </x:is>
      </x:c>
      <x:c r="K79" s="207" t="inlineStr">
        <x:is>
          <x:t xml:space="preserve">Lãi suất</x:t>
        </x:is>
      </x:c>
    </x:row>
    <x:row r="80" s="112" customFormat="1" ht="15" hidden="1" customHeight="1">
      <x:c r="A80" s="207" t="inlineStr">
        <x:is>
          <x:t xml:space="preserve">KB0 · Không đổi (cơ sở)</x:t>
        </x:is>
      </x:c>
      <x:c r="B80" s="208" t="n">
        <x:f>'3_Giả định'!$C$17</x:f>
        <x:v>5210000</x:v>
      </x:c>
      <x:c r="C80" s="208" t="n">
        <x:f>'3_Giả định'!$C$18</x:f>
        <x:v>1619398.0000000002</x:v>
      </x:c>
      <x:c r="D80" s="209" t="n">
        <x:f>'3_Giả định'!$C$7</x:f>
        <x:v>10</x:v>
      </x:c>
      <x:c r="E80" s="210" t="n">
        <x:f>'3_Giả định'!$C$8</x:f>
        <x:v>0.05</x:v>
      </x:c>
      <x:c r="F80" s="210" t="n">
        <x:f>'3_Giả định'!$C$9</x:f>
        <x:v>0.045</x:v>
      </x:c>
      <x:c r="G80" s="208" t="n">
        <x:f>'3_Giả định'!$C$10</x:f>
        <x:v>7000000</x:v>
      </x:c>
      <x:c r="H80" s="208" t="n">
        <x:f>'3_Giả định'!$C$11</x:f>
        <x:v>160000000</x:v>
      </x:c>
      <x:c r="I80" s="208" t="n">
        <x:f>'3_Giả định'!$C$12</x:f>
        <x:v>600000000</x:v>
      </x:c>
      <x:c r="J80" s="208" t="n">
        <x:f>'3_Giả định'!$C$13</x:f>
        <x:v>3000000000</x:v>
      </x:c>
      <x:c r="K80" s="210" t="n">
        <x:f>'3_Giả định'!$C$14</x:f>
        <x:v>0.15</x:v>
      </x:c>
    </x:row>
    <x:row r="81" s="112" customFormat="1" ht="15" hidden="1" customHeight="1">
      <x:c r="A81" s="207" t="inlineStr">
        <x:is>
          <x:t xml:space="preserve">KB1 · Doanh thu bình quân giảm</x:t>
        </x:is>
      </x:c>
      <x:c r="B81" s="208" t="n">
        <x:f>'3_Giả định'!$C$17*(1-$B$54)</x:f>
        <x:v>4168000</x:v>
      </x:c>
      <x:c r="C81" s="208" t="n">
        <x:f>'3_Giả định'!$C$18</x:f>
        <x:v>1619398.0000000002</x:v>
      </x:c>
      <x:c r="D81" s="209" t="n">
        <x:f>'3_Giả định'!$C$7</x:f>
        <x:v>10</x:v>
      </x:c>
      <x:c r="E81" s="210" t="n">
        <x:f>'3_Giả định'!$C$8</x:f>
        <x:v>0.05</x:v>
      </x:c>
      <x:c r="F81" s="210" t="n">
        <x:f>'3_Giả định'!$C$9</x:f>
        <x:v>0.045</x:v>
      </x:c>
      <x:c r="G81" s="208" t="n">
        <x:f>'3_Giả định'!$C$10</x:f>
        <x:v>7000000</x:v>
      </x:c>
      <x:c r="H81" s="208" t="n">
        <x:f>'3_Giả định'!$C$11</x:f>
        <x:v>160000000</x:v>
      </x:c>
      <x:c r="I81" s="208" t="n">
        <x:f>'3_Giả định'!$C$12</x:f>
        <x:v>600000000</x:v>
      </x:c>
      <x:c r="J81" s="208" t="n">
        <x:f>'3_Giả định'!$C$13</x:f>
        <x:v>3000000000</x:v>
      </x:c>
      <x:c r="K81" s="210" t="n">
        <x:f>'3_Giả định'!$C$14</x:f>
        <x:v>0.15</x:v>
      </x:c>
    </x:row>
    <x:row r="82" s="112" customFormat="1" ht="15" hidden="1" customHeight="1">
      <x:c r="A82" s="207" t="inlineStr">
        <x:is>
          <x:t xml:space="preserve">KB2 · Chi phí AI tăng</x:t>
        </x:is>
      </x:c>
      <x:c r="B82" s="208" t="n">
        <x:f>'3_Giả định'!$C$17</x:f>
        <x:v>5210000</x:v>
      </x:c>
      <x:c r="C82" s="208" t="n">
        <x:f>'3_Giả định'!$C$18*(1+$B$54)</x:f>
        <x:v>1943277.6</x:v>
      </x:c>
      <x:c r="D82" s="209" t="n">
        <x:f>'3_Giả định'!$C$7</x:f>
        <x:v>10</x:v>
      </x:c>
      <x:c r="E82" s="210" t="n">
        <x:f>'3_Giả định'!$C$8</x:f>
        <x:v>0.05</x:v>
      </x:c>
      <x:c r="F82" s="210" t="n">
        <x:f>'3_Giả định'!$C$9</x:f>
        <x:v>0.045</x:v>
      </x:c>
      <x:c r="G82" s="208" t="n">
        <x:f>'3_Giả định'!$C$10</x:f>
        <x:v>7000000</x:v>
      </x:c>
      <x:c r="H82" s="208" t="n">
        <x:f>'3_Giả định'!$C$11</x:f>
        <x:v>160000000</x:v>
      </x:c>
      <x:c r="I82" s="208" t="n">
        <x:f>'3_Giả định'!$C$12</x:f>
        <x:v>600000000</x:v>
      </x:c>
      <x:c r="J82" s="208" t="n">
        <x:f>'3_Giả định'!$C$13</x:f>
        <x:v>3000000000</x:v>
      </x:c>
      <x:c r="K82" s="210" t="n">
        <x:f>'3_Giả định'!$C$14</x:f>
        <x:v>0.15</x:v>
      </x:c>
    </x:row>
    <x:row r="83" s="112" customFormat="1" ht="15" hidden="1" customHeight="1">
      <x:c r="A83" s="207" t="inlineStr">
        <x:is>
          <x:t xml:space="preserve">KB3 · Tỷ lệ rời bỏ tăng</x:t>
        </x:is>
      </x:c>
      <x:c r="B83" s="208" t="n">
        <x:f>'3_Giả định'!$C$17</x:f>
        <x:v>5210000</x:v>
      </x:c>
      <x:c r="C83" s="208" t="n">
        <x:f>'3_Giả định'!$C$18</x:f>
        <x:v>1619398.0000000002</x:v>
      </x:c>
      <x:c r="D83" s="209" t="n">
        <x:f>'3_Giả định'!$C$7</x:f>
        <x:v>10</x:v>
      </x:c>
      <x:c r="E83" s="210" t="n">
        <x:f>'3_Giả định'!$C$8</x:f>
        <x:v>0.05</x:v>
      </x:c>
      <x:c r="F83" s="210" t="n">
        <x:f>'3_Giả định'!$C$9*(1+$B$54)</x:f>
        <x:v>0.054</x:v>
      </x:c>
      <x:c r="G83" s="208" t="n">
        <x:f>'3_Giả định'!$C$10</x:f>
        <x:v>7000000</x:v>
      </x:c>
      <x:c r="H83" s="208" t="n">
        <x:f>'3_Giả định'!$C$11</x:f>
        <x:v>160000000</x:v>
      </x:c>
      <x:c r="I83" s="208" t="n">
        <x:f>'3_Giả định'!$C$12</x:f>
        <x:v>600000000</x:v>
      </x:c>
      <x:c r="J83" s="208" t="n">
        <x:f>'3_Giả định'!$C$13</x:f>
        <x:v>3000000000</x:v>
      </x:c>
      <x:c r="K83" s="210" t="n">
        <x:f>'3_Giả định'!$C$14</x:f>
        <x:v>0.15</x:v>
      </x:c>
    </x:row>
    <x:row r="84" s="112" customFormat="1" ht="15" hidden="1" customHeight="1">
      <x:c r="A84" s="207" t="inlineStr">
        <x:is>
          <x:t xml:space="preserve">KB4 · Chi phí có một khách tăng</x:t>
        </x:is>
      </x:c>
      <x:c r="B84" s="208" t="n">
        <x:f>'3_Giả định'!$C$17</x:f>
        <x:v>5210000</x:v>
      </x:c>
      <x:c r="C84" s="208" t="n">
        <x:f>'3_Giả định'!$C$18</x:f>
        <x:v>1619398.0000000002</x:v>
      </x:c>
      <x:c r="D84" s="209" t="n">
        <x:f>'3_Giả định'!$C$7</x:f>
        <x:v>10</x:v>
      </x:c>
      <x:c r="E84" s="210" t="n">
        <x:f>'3_Giả định'!$C$8</x:f>
        <x:v>0.05</x:v>
      </x:c>
      <x:c r="F84" s="210" t="n">
        <x:f>'3_Giả định'!$C$9</x:f>
        <x:v>0.045</x:v>
      </x:c>
      <x:c r="G84" s="208" t="n">
        <x:f>'3_Giả định'!$C$10*(1+$B$54)</x:f>
        <x:v>8400000</x:v>
      </x:c>
      <x:c r="H84" s="208" t="n">
        <x:f>'3_Giả định'!$C$11</x:f>
        <x:v>160000000</x:v>
      </x:c>
      <x:c r="I84" s="208" t="n">
        <x:f>'3_Giả định'!$C$12</x:f>
        <x:v>600000000</x:v>
      </x:c>
      <x:c r="J84" s="208" t="n">
        <x:f>'3_Giả định'!$C$13</x:f>
        <x:v>3000000000</x:v>
      </x:c>
      <x:c r="K84" s="210" t="n">
        <x:f>'3_Giả định'!$C$14</x:f>
        <x:v>0.15</x:v>
      </x:c>
    </x:row>
    <x:row r="85" s="112" customFormat="1" ht="15" hidden="1" customHeight="1">
      <x:c r="A85" s="207" t="inlineStr">
        <x:is>
          <x:t xml:space="preserve">KB5 · Khách mới tháng đầu giảm</x:t>
        </x:is>
      </x:c>
      <x:c r="B85" s="208" t="n">
        <x:f>'3_Giả định'!$C$17</x:f>
        <x:v>5210000</x:v>
      </x:c>
      <x:c r="C85" s="208" t="n">
        <x:f>'3_Giả định'!$C$18</x:f>
        <x:v>1619398.0000000002</x:v>
      </x:c>
      <x:c r="D85" s="209" t="n">
        <x:f>'3_Giả định'!$C$7*(1-$B$54)</x:f>
        <x:v>8</x:v>
      </x:c>
      <x:c r="E85" s="210" t="n">
        <x:f>'3_Giả định'!$C$8</x:f>
        <x:v>0.05</x:v>
      </x:c>
      <x:c r="F85" s="210" t="n">
        <x:f>'3_Giả định'!$C$9</x:f>
        <x:v>0.045</x:v>
      </x:c>
      <x:c r="G85" s="208" t="n">
        <x:f>'3_Giả định'!$C$10</x:f>
        <x:v>7000000</x:v>
      </x:c>
      <x:c r="H85" s="208" t="n">
        <x:f>'3_Giả định'!$C$11</x:f>
        <x:v>160000000</x:v>
      </x:c>
      <x:c r="I85" s="208" t="n">
        <x:f>'3_Giả định'!$C$12</x:f>
        <x:v>600000000</x:v>
      </x:c>
      <x:c r="J85" s="208" t="n">
        <x:f>'3_Giả định'!$C$13</x:f>
        <x:v>3000000000</x:v>
      </x:c>
      <x:c r="K85" s="210" t="n">
        <x:f>'3_Giả định'!$C$14</x:f>
        <x:v>0.15</x:v>
      </x:c>
    </x:row>
    <x:row r="86" s="112" customFormat="1" ht="15" hidden="1" customHeight="1">
      <x:c r="A86" s="207" t="inlineStr">
        <x:is>
          <x:t xml:space="preserve">KB6 · Tăng trưởng khách mới giảm</x:t>
        </x:is>
      </x:c>
      <x:c r="B86" s="208" t="n">
        <x:f>'3_Giả định'!$C$17</x:f>
        <x:v>5210000</x:v>
      </x:c>
      <x:c r="C86" s="208" t="n">
        <x:f>'3_Giả định'!$C$18</x:f>
        <x:v>1619398.0000000002</x:v>
      </x:c>
      <x:c r="D86" s="209" t="n">
        <x:f>'3_Giả định'!$C$7</x:f>
        <x:v>10</x:v>
      </x:c>
      <x:c r="E86" s="210" t="n">
        <x:f>'3_Giả định'!$C$8*(1-$B$54)</x:f>
        <x:v>0.04000000000000001</x:v>
      </x:c>
      <x:c r="F86" s="210" t="n">
        <x:f>'3_Giả định'!$C$9</x:f>
        <x:v>0.045</x:v>
      </x:c>
      <x:c r="G86" s="208" t="n">
        <x:f>'3_Giả định'!$C$10</x:f>
        <x:v>7000000</x:v>
      </x:c>
      <x:c r="H86" s="208" t="n">
        <x:f>'3_Giả định'!$C$11</x:f>
        <x:v>160000000</x:v>
      </x:c>
      <x:c r="I86" s="208" t="n">
        <x:f>'3_Giả định'!$C$12</x:f>
        <x:v>600000000</x:v>
      </x:c>
      <x:c r="J86" s="208" t="n">
        <x:f>'3_Giả định'!$C$13</x:f>
        <x:v>3000000000</x:v>
      </x:c>
      <x:c r="K86" s="210" t="n">
        <x:f>'3_Giả định'!$C$14</x:f>
        <x:v>0.15</x:v>
      </x:c>
    </x:row>
    <x:row r="87" s="112" customFormat="1" ht="15" hidden="1" customHeight="1">
      <x:c r="A87" s="207" t="inlineStr">
        <x:is>
          <x:t xml:space="preserve">KB7 · Chi phí cố định tăng</x:t>
        </x:is>
      </x:c>
      <x:c r="B87" s="208" t="n">
        <x:f>'3_Giả định'!$C$17</x:f>
        <x:v>5210000</x:v>
      </x:c>
      <x:c r="C87" s="208" t="n">
        <x:f>'3_Giả định'!$C$18</x:f>
        <x:v>1619398.0000000002</x:v>
      </x:c>
      <x:c r="D87" s="209" t="n">
        <x:f>'3_Giả định'!$C$7</x:f>
        <x:v>10</x:v>
      </x:c>
      <x:c r="E87" s="210" t="n">
        <x:f>'3_Giả định'!$C$8</x:f>
        <x:v>0.05</x:v>
      </x:c>
      <x:c r="F87" s="210" t="n">
        <x:f>'3_Giả định'!$C$9</x:f>
        <x:v>0.045</x:v>
      </x:c>
      <x:c r="G87" s="208" t="n">
        <x:f>'3_Giả định'!$C$10</x:f>
        <x:v>7000000</x:v>
      </x:c>
      <x:c r="H87" s="208" t="n">
        <x:f>'3_Giả định'!$C$11*(1+$B$54)</x:f>
        <x:v>192000000</x:v>
      </x:c>
      <x:c r="I87" s="208" t="n">
        <x:f>'3_Giả định'!$C$12</x:f>
        <x:v>600000000</x:v>
      </x:c>
      <x:c r="J87" s="208" t="n">
        <x:f>'3_Giả định'!$C$13</x:f>
        <x:v>3000000000</x:v>
      </x:c>
      <x:c r="K87" s="210" t="n">
        <x:f>'3_Giả định'!$C$14</x:f>
        <x:v>0.15</x:v>
      </x:c>
    </x:row>
    <x:row r="88" s="112" customFormat="1" ht="15" hidden="1" customHeight="1">
      <x:c r="A88" s="207" t="inlineStr">
        <x:is>
          <x:t xml:space="preserve">KB8 · Tình huống: khách dùng nhiều bỏ đi, thay bằng khách thường</x:t>
        </x:is>
      </x:c>
      <x:c r="B88" s="208" t="n">
        <x:f>'2_Định giá'!$D$15*'3_Giả định'!$C$5*(1-'2_Định giá'!$B$27)</x:f>
        <x:v>3120000</x:v>
      </x:c>
      <x:c r="C88" s="208" t="n">
        <x:f>'2_Định giá'!$E$15*'3_Giả định'!$C$6</x:f>
        <x:v>809699.0000000001</x:v>
      </x:c>
      <x:c r="D88" s="209" t="n">
        <x:f>'3_Giả định'!$C$7</x:f>
        <x:v>10</x:v>
      </x:c>
      <x:c r="E88" s="210" t="n">
        <x:f>'3_Giả định'!$C$8</x:f>
        <x:v>0.05</x:v>
      </x:c>
      <x:c r="F88" s="210" t="n">
        <x:f>'3_Giả định'!$C$9</x:f>
        <x:v>0.045</x:v>
      </x:c>
      <x:c r="G88" s="208" t="n">
        <x:f>'3_Giả định'!$C$10</x:f>
        <x:v>7000000</x:v>
      </x:c>
      <x:c r="H88" s="208" t="n">
        <x:f>'3_Giả định'!$C$11</x:f>
        <x:v>160000000</x:v>
      </x:c>
      <x:c r="I88" s="208" t="n">
        <x:f>'3_Giả định'!$C$12</x:f>
        <x:v>600000000</x:v>
      </x:c>
      <x:c r="J88" s="208" t="n">
        <x:f>'3_Giả định'!$C$13</x:f>
        <x:v>3000000000</x:v>
      </x:c>
      <x:c r="K88" s="210" t="n">
        <x:f>'3_Giả định'!$C$14</x:f>
        <x:v>0.15</x:v>
      </x:c>
    </x:row>
    <x:row r="89" s="112" customFormat="1" ht="15" hidden="1" customHeight="1"/>
    <x:row r="90" s="112" customFormat="1" ht="15" hidden="1" customHeight="1"/>
    <x:row r="91" s="112" customFormat="1" ht="15" hidden="1" customHeight="1"/>
    <x:row r="92" s="112" customFormat="1" ht="15" hidden="1" customHeight="1">
      <x:c r="A92" s="207" t="inlineStr">
        <x:is>
          <x:t xml:space="preserve">KB0 · Khách mới</x:t>
        </x:is>
      </x:c>
      <x:c r="C92" s="209" t="n">
        <x:f>$D$80*(1+$E$80)^0</x:f>
        <x:v>10</x:v>
      </x:c>
      <x:c r="D92" s="209" t="n">
        <x:f>$D$80*(1+$E$80)^1</x:f>
        <x:v>10.5</x:v>
      </x:c>
      <x:c r="E92" s="209" t="n">
        <x:f>$D$80*(1+$E$80)^2</x:f>
        <x:v>11.025</x:v>
      </x:c>
      <x:c r="F92" s="209" t="n">
        <x:f>$D$80*(1+$E$80)^3</x:f>
        <x:v>11.576250000000002</x:v>
      </x:c>
      <x:c r="G92" s="209" t="n">
        <x:f>$D$80*(1+$E$80)^4</x:f>
        <x:v>12.155062500000003</x:v>
      </x:c>
      <x:c r="H92" s="209" t="n">
        <x:f>$D$80*(1+$E$80)^5</x:f>
        <x:v>12.762815625000004</x:v>
      </x:c>
      <x:c r="I92" s="209" t="n">
        <x:f>$D$80*(1+$E$80)^6</x:f>
        <x:v>13.400956406250003</x:v>
      </x:c>
      <x:c r="J92" s="209" t="n">
        <x:f>$D$80*(1+$E$80)^7</x:f>
        <x:v>14.071004226562504</x:v>
      </x:c>
      <x:c r="K92" s="209" t="n">
        <x:f>$D$80*(1+$E$80)^8</x:f>
        <x:v>14.77455443789063</x:v>
      </x:c>
      <x:c r="L92" s="209" t="n">
        <x:f>$D$80*(1+$E$80)^9</x:f>
        <x:v>15.513282159785163</x:v>
      </x:c>
      <x:c r="M92" s="209" t="n">
        <x:f>$D$80*(1+$E$80)^10</x:f>
        <x:v>16.28894626777442</x:v>
      </x:c>
      <x:c r="N92" s="209" t="n">
        <x:f>$D$80*(1+$E$80)^11</x:f>
        <x:v>17.103393581163143</x:v>
      </x:c>
      <x:c r="O92" s="209" t="n">
        <x:f>$D$80*(1+$E$80)^12</x:f>
        <x:v>17.9585632602213</x:v>
      </x:c>
      <x:c r="P92" s="209" t="n">
        <x:f>$D$80*(1+$E$80)^13</x:f>
        <x:v>18.856491423232367</x:v>
      </x:c>
      <x:c r="Q92" s="209" t="n">
        <x:f>$D$80*(1+$E$80)^14</x:f>
        <x:v>19.799315994393986</x:v>
      </x:c>
      <x:c r="R92" s="209" t="n">
        <x:f>$D$80*(1+$E$80)^15</x:f>
        <x:v>20.789281794113688</x:v>
      </x:c>
      <x:c r="S92" s="209" t="n">
        <x:f>$D$80*(1+$E$80)^16</x:f>
        <x:v>21.82874588381937</x:v>
      </x:c>
      <x:c r="T92" s="209" t="n">
        <x:f>$D$80*(1+$E$80)^17</x:f>
        <x:v>22.92018317801034</x:v>
      </x:c>
      <x:c r="U92" s="209" t="n">
        <x:f>$D$80*(1+$E$80)^18</x:f>
        <x:v>24.066192336910856</x:v>
      </x:c>
      <x:c r="V92" s="209" t="n">
        <x:f>$D$80*(1+$E$80)^19</x:f>
        <x:v>25.269501953756404</x:v>
      </x:c>
      <x:c r="W92" s="209" t="n">
        <x:f>$D$80*(1+$E$80)^20</x:f>
        <x:v>26.53297705144422</x:v>
      </x:c>
      <x:c r="X92" s="209" t="n">
        <x:f>$D$80*(1+$E$80)^21</x:f>
        <x:v>27.859625904016436</x:v>
      </x:c>
      <x:c r="Y92" s="209" t="n">
        <x:f>$D$80*(1+$E$80)^22</x:f>
        <x:v>29.25260719921726</x:v>
      </x:c>
      <x:c r="Z92" s="209" t="n">
        <x:f>$D$80*(1+$E$80)^23</x:f>
        <x:v>30.715237559178124</x:v>
      </x:c>
    </x:row>
    <x:row r="93" s="112" customFormat="1" ht="15" hidden="1" customHeight="1">
      <x:c r="A93" s="207" t="inlineStr">
        <x:is>
          <x:t xml:space="preserve">KB0 · Khách đang dùng</x:t>
        </x:is>
      </x:c>
      <x:c r="B93" s="207" t="n">
        <x:v>0</x:v>
      </x:c>
      <x:c r="C93" s="209" t="n">
        <x:f>B93*(1-$F$80)+C92</x:f>
        <x:v>10</x:v>
      </x:c>
      <x:c r="D93" s="209" t="n">
        <x:f>C93*(1-$F$80)+D92</x:f>
        <x:v>20.049999999999997</x:v>
      </x:c>
      <x:c r="E93" s="209" t="n">
        <x:f>D93*(1-$F$80)+E92</x:f>
        <x:v>30.172749999999994</x:v>
      </x:c>
      <x:c r="F93" s="209" t="n">
        <x:f>E93*(1-$F$80)+F92</x:f>
        <x:v>40.391226249999995</x:v>
      </x:c>
      <x:c r="G93" s="209" t="n">
        <x:f>F93*(1-$F$80)+G92</x:f>
        <x:v>50.72868356875</x:v>
      </x:c>
      <x:c r="H93" s="209" t="n">
        <x:f>G93*(1-$F$80)+H92</x:f>
        <x:v>61.20870843315625</x:v>
      </x:c>
      <x:c r="I93" s="209" t="n">
        <x:f>H93*(1-$F$80)+I92</x:f>
        <x:v>71.85527295991422</x:v>
      </x:c>
      <x:c r="J93" s="209" t="n">
        <x:f>I93*(1-$F$80)+J92</x:f>
        <x:v>82.69278990328058</x:v>
      </x:c>
      <x:c r="K93" s="209" t="n">
        <x:f>J93*(1-$F$80)+K92</x:f>
        <x:v>93.74616879552359</x:v>
      </x:c>
      <x:c r="L93" s="209" t="n">
        <x:f>K93*(1-$F$80)+L92</x:f>
        <x:v>105.04087335951019</x:v>
      </x:c>
      <x:c r="M93" s="209" t="n">
        <x:f>L93*(1-$F$80)+M92</x:f>
        <x:v>116.60298032610665</x:v>
      </x:c>
      <x:c r="N93" s="209" t="n">
        <x:f>M93*(1-$F$80)+N92</x:f>
        <x:v>128.45923979259499</x:v>
      </x:c>
      <x:c r="O93" s="209" t="n">
        <x:f>N93*(1-$F$80)+O92</x:f>
        <x:v>140.6371372621495</x:v>
      </x:c>
      <x:c r="P93" s="209" t="n">
        <x:f>O93*(1-$F$80)+P92</x:f>
        <x:v>153.16495750858513</x:v>
      </x:c>
      <x:c r="Q93" s="209" t="n">
        <x:f>P93*(1-$F$80)+Q92</x:f>
        <x:v>166.0718504150928</x:v>
      </x:c>
      <x:c r="R93" s="209" t="n">
        <x:f>Q93*(1-$F$80)+R92</x:f>
        <x:v>179.3878989405273</x:v>
      </x:c>
      <x:c r="S93" s="209" t="n">
        <x:f>R93*(1-$F$80)+S92</x:f>
        <x:v>193.14418937202294</x:v>
      </x:c>
      <x:c r="T93" s="209" t="n">
        <x:f>S93*(1-$F$80)+T92</x:f>
        <x:v>207.37288402829225</x:v>
      </x:c>
      <x:c r="U93" s="209" t="n">
        <x:f>T93*(1-$F$80)+U92</x:f>
        <x:v>222.10729658392995</x:v>
      </x:c>
      <x:c r="V93" s="209" t="n">
        <x:f>U93*(1-$F$80)+V92</x:f>
        <x:v>237.3819701914095</x:v>
      </x:c>
      <x:c r="W93" s="209" t="n">
        <x:f>V93*(1-$F$80)+W92</x:f>
        <x:v>253.2327585842403</x:v>
      </x:c>
      <x:c r="X93" s="209" t="n">
        <x:f>W93*(1-$F$80)+X92</x:f>
        <x:v>269.69691035196587</x:v>
      </x:c>
      <x:c r="Y93" s="209" t="n">
        <x:f>X93*(1-$F$80)+Y92</x:f>
        <x:v>286.81315658534464</x:v>
      </x:c>
      <x:c r="Z93" s="209" t="n">
        <x:f>Y93*(1-$F$80)+Z92</x:f>
        <x:v>304.6218020981823</x:v>
      </x:c>
    </x:row>
    <x:row r="94" s="112" customFormat="1" ht="15" hidden="1" customHeight="1">
      <x:c r="A94" s="207" t="inlineStr">
        <x:is>
          <x:t xml:space="preserve">KB0 · Dòng tiền ròng</x:t>
        </x:is>
      </x:c>
      <x:c r="B94" s="208" t="n">
        <x:f>-$I$80</x:f>
        <x:v>-600000000</x:v>
      </x:c>
      <x:c r="C94" s="208" t="n">
        <x:f>C93*($B$80-$C$80)-C92*$G$80-$H$80</x:f>
        <x:v>-194093980</x:v>
      </x:c>
      <x:c r="D94" s="208" t="n">
        <x:f>D93*($B$80-$C$80)-D92*$G$80-$H$80</x:f>
        <x:v>-161508429.9</x:v>
      </x:c>
      <x:c r="E94" s="208" t="n">
        <x:f>E93*($B$80-$C$80)-E92*$G$80-$H$80</x:f>
        <x:v>-128836663.50450002</x:v>
      </x:c>
      <x:c r="F94" s="208" t="n">
        <x:f>F93*($B$80-$C$80)-F92*$G$80-$H$80</x:f>
        <x:v>-96004932.24429752</x:v>
      </x:c>
      <x:c r="G94" s="208" t="n">
        <x:f>G93*($B$80-$C$80)-G92*$G$80-$H$80</x:f>
        <x:v>-62938924.82067913</x:v>
      </x:c>
      <x:c r="H94" s="208" t="n">
        <x:f>H93*($B$80-$C$80)-H92*$G$80-$H$80</x:f>
        <x:v>-29563598.45749235</x:v>
      </x:c>
      <x:c r="I94" s="208" t="n">
        <x:f>I93*($B$80-$C$80)-I92*$G$80-$H$80</x:f>
        <x:v>4196991.956663877</x:v>
      </x:c>
      <x:c r="J94" s="208" t="n">
        <x:f>J93*($B$80-$C$80)-J92*$G$80-$H$80</x:f>
        <x:v>38419867.22636154</x:v>
      </x:c>
      <x:c r="K94" s="208" t="n">
        <x:f>K93*($B$80-$C$80)-K92*$G$80-$H$80</x:f>
        <x:v>73183300.10431015</x:v>
      </x:c>
      <x:c r="L94" s="208" t="n">
        <x:f>L93*($B$80-$C$80)-L92*$G$80-$H$80</x:f>
        <x:v>108566994.8479079</x:v>
      </x:c>
      <x:c r="M94" s="208" t="n">
        <x:f>M93*($B$80-$C$80)-M92*$G$80-$H$80</x:f>
        <x:v>144652270.49045825</x:v>
      </x:c>
      <x:c r="N94" s="208" t="n">
        <x:f>N93*($B$80-$C$80)-N92*$G$80-$H$80</x:f>
        <x:v>181522248.24962914</x:v>
      </x:c>
      <x:c r="O94" s="208" t="n">
        <x:f>O93*($B$80-$C$80)-O92*$G$80-$H$80</x:f>
        <x:v>219262043.50619942</x:v>
      </x:c>
      <x:c r="P94" s="208" t="n">
        <x:f>P93*($B$80-$C$80)-P92*$G$80-$H$80</x:f>
        <x:v>257958962.79761422</x:v>
      </x:c>
      <x:c r="Q94" s="208" t="n">
        <x:f>Q93*($B$80-$C$80)-Q92*$G$80-$H$80</x:f>
        <x:v>297702706.2833751</x:v>
      </x:c>
      <x:c r="R94" s="208" t="n">
        <x:f>R93*($B$80-$C$80)-R92*$G$80-$H$80</x:f>
        <x:v>338585576.15285933</x:v>
      </x:c>
      <x:c r="S94" s="208" t="n">
        <x:f>S93*($B$80-$C$80)-S92*$G$80-$H$80</x:f>
        <x:v>380702691.4608288</x:v>
      </x:c>
      <x:c r="T94" s="208" t="n">
        <x:f>T93*($B$80-$C$80)-T92*$G$80-$H$80</x:f>
        <x:v>424152209.8916818</x:v>
      </x:c>
      <x:c r="U94" s="208" t="n">
        <x:f>U93*($B$80-$C$80)-U92*$G$80-$H$80</x:f>
        <x:v>469035556.97047603</x:v>
      </x:c>
      <x:c r="V94" s="208" t="n">
        <x:f>V93*($B$80-$C$80)-V92*$G$80-$H$80</x:f>
        <x:v>515457663.25692046</x:v>
      </x:c>
      <x:c r="W94" s="208" t="n">
        <x:f>W93*($B$80-$C$80)-W92*$G$80-$H$80</x:f>
        <x:v>563527210.0779808</x:v>
      </x:c>
      <x:c r="X94" s="208" t="n">
        <x:f>X93*($B$80-$C$80)-X92*$G$80-$H$80</x:f>
        <x:v>613356884.3754742</x:v>
      </x:c>
      <x:c r="Y94" s="208" t="n">
        <x:f>Y93*($B$80-$C$80)-Y92*$G$80-$H$80</x:f>
        <x:v>665063643.2671309</x:v>
      </x:c>
      <x:c r="Z94" s="208" t="n">
        <x:f>Z93*($B$80-$C$80)-Z92*$G$80-$H$80</x:f>
        <x:v>718768988.9430907</x:v>
      </x:c>
    </x:row>
    <x:row r="95" s="112" customFormat="1" ht="15" hidden="1" customHeight="1">
      <x:c r="A95" s="207" t="inlineStr">
        <x:is>
          <x:t xml:space="preserve">KB0 · Tiền mặt cuối kỳ</x:t>
        </x:is>
      </x:c>
      <x:c r="B95" s="208" t="n">
        <x:f>$J$80+B94</x:f>
        <x:v>2400000000</x:v>
      </x:c>
      <x:c r="C95" s="208" t="n">
        <x:f>B95+C94</x:f>
        <x:v>2205906020</x:v>
      </x:c>
      <x:c r="D95" s="208" t="n">
        <x:f>C95+D94</x:f>
        <x:v>2044397590.1</x:v>
      </x:c>
      <x:c r="E95" s="208" t="n">
        <x:f>D95+E94</x:f>
        <x:v>1915560926.5955</x:v>
      </x:c>
      <x:c r="F95" s="208" t="n">
        <x:f>E95+F94</x:f>
        <x:v>1819555994.3512025</x:v>
      </x:c>
      <x:c r="G95" s="208" t="n">
        <x:f>F95+G94</x:f>
        <x:v>1756617069.5305233</x:v>
      </x:c>
      <x:c r="H95" s="208" t="n">
        <x:f>G95+H94</x:f>
        <x:v>1727053471.073031</x:v>
      </x:c>
      <x:c r="I95" s="208" t="n">
        <x:f>H95+I94</x:f>
        <x:v>1731250463.0296948</x:v>
      </x:c>
      <x:c r="J95" s="208" t="n">
        <x:f>I95+J94</x:f>
        <x:v>1769670330.2560563</x:v>
      </x:c>
      <x:c r="K95" s="208" t="n">
        <x:f>J95+K94</x:f>
        <x:v>1842853630.3603663</x:v>
      </x:c>
      <x:c r="L95" s="208" t="n">
        <x:f>K95+L94</x:f>
        <x:v>1951420625.2082744</x:v>
      </x:c>
      <x:c r="M95" s="208" t="n">
        <x:f>L95+M94</x:f>
        <x:v>2096072895.6987326</x:v>
      </x:c>
      <x:c r="N95" s="208" t="n">
        <x:f>M95+N94</x:f>
        <x:v>2277595143.948362</x:v>
      </x:c>
      <x:c r="O95" s="208" t="n">
        <x:f>N95+O94</x:f>
        <x:v>2496857187.454561</x:v>
      </x:c>
      <x:c r="P95" s="208" t="n">
        <x:f>O95+P94</x:f>
        <x:v>2754816150.2521753</x:v>
      </x:c>
      <x:c r="Q95" s="208" t="n">
        <x:f>P95+Q94</x:f>
        <x:v>3052518856.5355506</x:v>
      </x:c>
      <x:c r="R95" s="208" t="n">
        <x:f>Q95+R94</x:f>
        <x:v>3391104432.68841</x:v>
      </x:c>
      <x:c r="S95" s="208" t="n">
        <x:f>R95+S94</x:f>
        <x:v>3771807124.1492386</x:v>
      </x:c>
      <x:c r="T95" s="208" t="n">
        <x:f>S95+T94</x:f>
        <x:v>4195959334.0409203</x:v>
      </x:c>
      <x:c r="U95" s="208" t="n">
        <x:f>T95+U94</x:f>
        <x:v>4664994891.011396</x:v>
      </x:c>
      <x:c r="V95" s="208" t="n">
        <x:f>U95+V94</x:f>
        <x:v>5180452554.268317</x:v>
      </x:c>
      <x:c r="W95" s="208" t="n">
        <x:f>V95+W94</x:f>
        <x:v>5743979764.346298</x:v>
      </x:c>
      <x:c r="X95" s="208" t="n">
        <x:f>W95+X94</x:f>
        <x:v>6357336648.721772</x:v>
      </x:c>
      <x:c r="Y95" s="208" t="n">
        <x:f>X95+Y94</x:f>
        <x:v>7022400291.988903</x:v>
      </x:c>
      <x:c r="Z95" s="208" t="n">
        <x:f>Y95+Z94</x:f>
        <x:v>7741169280.9319935</x:v>
      </x:c>
    </x:row>
    <x:row r="96" s="112" customFormat="1" ht="15" hidden="1" customHeight="1">
      <x:c r="A96" s="207" t="inlineStr">
        <x:is>
          <x:t xml:space="preserve">KB0 · Dòng tiền lũy kế</x:t>
        </x:is>
      </x:c>
      <x:c r="B96" s="208" t="n">
        <x:f>B94</x:f>
        <x:v>-600000000</x:v>
      </x:c>
      <x:c r="C96" s="208" t="n">
        <x:f>B96+C94</x:f>
        <x:v>-794093980</x:v>
      </x:c>
      <x:c r="D96" s="208" t="n">
        <x:f>C96+D94</x:f>
        <x:v>-955602409.9</x:v>
      </x:c>
      <x:c r="E96" s="208" t="n">
        <x:f>D96+E94</x:f>
        <x:v>-1084439073.4045</x:v>
      </x:c>
      <x:c r="F96" s="208" t="n">
        <x:f>E96+F94</x:f>
        <x:v>-1180444005.6487975</x:v>
      </x:c>
      <x:c r="G96" s="208" t="n">
        <x:f>F96+G94</x:f>
        <x:v>-1243382930.4694767</x:v>
      </x:c>
      <x:c r="H96" s="208" t="n">
        <x:f>G96+H94</x:f>
        <x:v>-1272946528.926969</x:v>
      </x:c>
      <x:c r="I96" s="208" t="n">
        <x:f>H96+I94</x:f>
        <x:v>-1268749536.9703052</x:v>
      </x:c>
      <x:c r="J96" s="208" t="n">
        <x:f>I96+J94</x:f>
        <x:v>-1230329669.7439437</x:v>
      </x:c>
      <x:c r="K96" s="208" t="n">
        <x:f>J96+K94</x:f>
        <x:v>-1157146369.6396337</x:v>
      </x:c>
      <x:c r="L96" s="208" t="n">
        <x:f>K96+L94</x:f>
        <x:v>-1048579374.7917258</x:v>
      </x:c>
      <x:c r="M96" s="208" t="n">
        <x:f>L96+M94</x:f>
        <x:v>-903927104.3012675</x:v>
      </x:c>
      <x:c r="N96" s="208" t="n">
        <x:f>M96+N94</x:f>
        <x:v>-722404856.0516384</x:v>
      </x:c>
      <x:c r="O96" s="208" t="n">
        <x:f>N96+O94</x:f>
        <x:v>-503142812.54543895</x:v>
      </x:c>
      <x:c r="P96" s="208" t="n">
        <x:f>O96+P94</x:f>
        <x:v>-245183849.74782473</x:v>
      </x:c>
      <x:c r="Q96" s="208" t="n">
        <x:f>P96+Q94</x:f>
        <x:v>52518856.535550356</x:v>
      </x:c>
      <x:c r="R96" s="208" t="n">
        <x:f>Q96+R94</x:f>
        <x:v>391104432.6884097</x:v>
      </x:c>
      <x:c r="S96" s="208" t="n">
        <x:f>R96+S94</x:f>
        <x:v>771807124.1492385</x:v>
      </x:c>
      <x:c r="T96" s="208" t="n">
        <x:f>S96+T94</x:f>
        <x:v>1195959334.0409203</x:v>
      </x:c>
      <x:c r="U96" s="208" t="n">
        <x:f>T96+U94</x:f>
        <x:v>1664994891.0113964</x:v>
      </x:c>
      <x:c r="V96" s="208" t="n">
        <x:f>U96+V94</x:f>
        <x:v>2180452554.2683167</x:v>
      </x:c>
      <x:c r="W96" s="208" t="n">
        <x:f>V96+W94</x:f>
        <x:v>2743979764.3462973</x:v>
      </x:c>
      <x:c r="X96" s="208" t="n">
        <x:f>W96+X94</x:f>
        <x:v>3357336648.7217712</x:v>
      </x:c>
      <x:c r="Y96" s="208" t="n">
        <x:f>X96+Y94</x:f>
        <x:v>4022400291.988902</x:v>
      </x:c>
      <x:c r="Z96" s="208" t="n">
        <x:f>Y96+Z94</x:f>
        <x:v>4741169280.931993</x:v>
      </x:c>
    </x:row>
    <x:row r="97" s="112" customFormat="1" ht="15" hidden="1" customHeight="1"/>
    <x:row r="98" s="112" customFormat="1" ht="15" hidden="1" customHeight="1">
      <x:c r="A98" s="207" t="inlineStr">
        <x:is>
          <x:t xml:space="preserve">KB1 · Khách mới</x:t>
        </x:is>
      </x:c>
      <x:c r="C98" s="209" t="n">
        <x:f>$D$81*(1+$E$81)^0</x:f>
        <x:v>10</x:v>
      </x:c>
      <x:c r="D98" s="209" t="n">
        <x:f>$D$81*(1+$E$81)^1</x:f>
        <x:v>10.5</x:v>
      </x:c>
      <x:c r="E98" s="209" t="n">
        <x:f>$D$81*(1+$E$81)^2</x:f>
        <x:v>11.025</x:v>
      </x:c>
      <x:c r="F98" s="209" t="n">
        <x:f>$D$81*(1+$E$81)^3</x:f>
        <x:v>11.576250000000002</x:v>
      </x:c>
      <x:c r="G98" s="209" t="n">
        <x:f>$D$81*(1+$E$81)^4</x:f>
        <x:v>12.155062500000003</x:v>
      </x:c>
      <x:c r="H98" s="209" t="n">
        <x:f>$D$81*(1+$E$81)^5</x:f>
        <x:v>12.762815625000004</x:v>
      </x:c>
      <x:c r="I98" s="209" t="n">
        <x:f>$D$81*(1+$E$81)^6</x:f>
        <x:v>13.400956406250003</x:v>
      </x:c>
      <x:c r="J98" s="209" t="n">
        <x:f>$D$81*(1+$E$81)^7</x:f>
        <x:v>14.071004226562504</x:v>
      </x:c>
      <x:c r="K98" s="209" t="n">
        <x:f>$D$81*(1+$E$81)^8</x:f>
        <x:v>14.77455443789063</x:v>
      </x:c>
      <x:c r="L98" s="209" t="n">
        <x:f>$D$81*(1+$E$81)^9</x:f>
        <x:v>15.513282159785163</x:v>
      </x:c>
      <x:c r="M98" s="209" t="n">
        <x:f>$D$81*(1+$E$81)^10</x:f>
        <x:v>16.28894626777442</x:v>
      </x:c>
      <x:c r="N98" s="209" t="n">
        <x:f>$D$81*(1+$E$81)^11</x:f>
        <x:v>17.103393581163143</x:v>
      </x:c>
      <x:c r="O98" s="209" t="n">
        <x:f>$D$81*(1+$E$81)^12</x:f>
        <x:v>17.9585632602213</x:v>
      </x:c>
      <x:c r="P98" s="209" t="n">
        <x:f>$D$81*(1+$E$81)^13</x:f>
        <x:v>18.856491423232367</x:v>
      </x:c>
      <x:c r="Q98" s="209" t="n">
        <x:f>$D$81*(1+$E$81)^14</x:f>
        <x:v>19.799315994393986</x:v>
      </x:c>
      <x:c r="R98" s="209" t="n">
        <x:f>$D$81*(1+$E$81)^15</x:f>
        <x:v>20.789281794113688</x:v>
      </x:c>
      <x:c r="S98" s="209" t="n">
        <x:f>$D$81*(1+$E$81)^16</x:f>
        <x:v>21.82874588381937</x:v>
      </x:c>
      <x:c r="T98" s="209" t="n">
        <x:f>$D$81*(1+$E$81)^17</x:f>
        <x:v>22.92018317801034</x:v>
      </x:c>
      <x:c r="U98" s="209" t="n">
        <x:f>$D$81*(1+$E$81)^18</x:f>
        <x:v>24.066192336910856</x:v>
      </x:c>
      <x:c r="V98" s="209" t="n">
        <x:f>$D$81*(1+$E$81)^19</x:f>
        <x:v>25.269501953756404</x:v>
      </x:c>
      <x:c r="W98" s="209" t="n">
        <x:f>$D$81*(1+$E$81)^20</x:f>
        <x:v>26.53297705144422</x:v>
      </x:c>
      <x:c r="X98" s="209" t="n">
        <x:f>$D$81*(1+$E$81)^21</x:f>
        <x:v>27.859625904016436</x:v>
      </x:c>
      <x:c r="Y98" s="209" t="n">
        <x:f>$D$81*(1+$E$81)^22</x:f>
        <x:v>29.25260719921726</x:v>
      </x:c>
      <x:c r="Z98" s="209" t="n">
        <x:f>$D$81*(1+$E$81)^23</x:f>
        <x:v>30.715237559178124</x:v>
      </x:c>
    </x:row>
    <x:row r="99" s="112" customFormat="1" ht="15" hidden="1" customHeight="1">
      <x:c r="A99" s="207" t="inlineStr">
        <x:is>
          <x:t xml:space="preserve">KB1 · Khách đang dùng</x:t>
        </x:is>
      </x:c>
      <x:c r="B99" s="207" t="n">
        <x:v>0</x:v>
      </x:c>
      <x:c r="C99" s="209" t="n">
        <x:f>B99*(1-$F$81)+C98</x:f>
        <x:v>10</x:v>
      </x:c>
      <x:c r="D99" s="209" t="n">
        <x:f>C99*(1-$F$81)+D98</x:f>
        <x:v>20.049999999999997</x:v>
      </x:c>
      <x:c r="E99" s="209" t="n">
        <x:f>D99*(1-$F$81)+E98</x:f>
        <x:v>30.172749999999994</x:v>
      </x:c>
      <x:c r="F99" s="209" t="n">
        <x:f>E99*(1-$F$81)+F98</x:f>
        <x:v>40.391226249999995</x:v>
      </x:c>
      <x:c r="G99" s="209" t="n">
        <x:f>F99*(1-$F$81)+G98</x:f>
        <x:v>50.72868356875</x:v>
      </x:c>
      <x:c r="H99" s="209" t="n">
        <x:f>G99*(1-$F$81)+H98</x:f>
        <x:v>61.20870843315625</x:v>
      </x:c>
      <x:c r="I99" s="209" t="n">
        <x:f>H99*(1-$F$81)+I98</x:f>
        <x:v>71.85527295991422</x:v>
      </x:c>
      <x:c r="J99" s="209" t="n">
        <x:f>I99*(1-$F$81)+J98</x:f>
        <x:v>82.69278990328058</x:v>
      </x:c>
      <x:c r="K99" s="209" t="n">
        <x:f>J99*(1-$F$81)+K98</x:f>
        <x:v>93.74616879552359</x:v>
      </x:c>
      <x:c r="L99" s="209" t="n">
        <x:f>K99*(1-$F$81)+L98</x:f>
        <x:v>105.04087335951019</x:v>
      </x:c>
      <x:c r="M99" s="209" t="n">
        <x:f>L99*(1-$F$81)+M98</x:f>
        <x:v>116.60298032610665</x:v>
      </x:c>
      <x:c r="N99" s="209" t="n">
        <x:f>M99*(1-$F$81)+N98</x:f>
        <x:v>128.45923979259499</x:v>
      </x:c>
      <x:c r="O99" s="209" t="n">
        <x:f>N99*(1-$F$81)+O98</x:f>
        <x:v>140.6371372621495</x:v>
      </x:c>
      <x:c r="P99" s="209" t="n">
        <x:f>O99*(1-$F$81)+P98</x:f>
        <x:v>153.16495750858513</x:v>
      </x:c>
      <x:c r="Q99" s="209" t="n">
        <x:f>P99*(1-$F$81)+Q98</x:f>
        <x:v>166.0718504150928</x:v>
      </x:c>
      <x:c r="R99" s="209" t="n">
        <x:f>Q99*(1-$F$81)+R98</x:f>
        <x:v>179.3878989405273</x:v>
      </x:c>
      <x:c r="S99" s="209" t="n">
        <x:f>R99*(1-$F$81)+S98</x:f>
        <x:v>193.14418937202294</x:v>
      </x:c>
      <x:c r="T99" s="209" t="n">
        <x:f>S99*(1-$F$81)+T98</x:f>
        <x:v>207.37288402829225</x:v>
      </x:c>
      <x:c r="U99" s="209" t="n">
        <x:f>T99*(1-$F$81)+U98</x:f>
        <x:v>222.10729658392995</x:v>
      </x:c>
      <x:c r="V99" s="209" t="n">
        <x:f>U99*(1-$F$81)+V98</x:f>
        <x:v>237.3819701914095</x:v>
      </x:c>
      <x:c r="W99" s="209" t="n">
        <x:f>V99*(1-$F$81)+W98</x:f>
        <x:v>253.2327585842403</x:v>
      </x:c>
      <x:c r="X99" s="209" t="n">
        <x:f>W99*(1-$F$81)+X98</x:f>
        <x:v>269.69691035196587</x:v>
      </x:c>
      <x:c r="Y99" s="209" t="n">
        <x:f>X99*(1-$F$81)+Y98</x:f>
        <x:v>286.81315658534464</x:v>
      </x:c>
      <x:c r="Z99" s="209" t="n">
        <x:f>Y99*(1-$F$81)+Z98</x:f>
        <x:v>304.6218020981823</x:v>
      </x:c>
    </x:row>
    <x:row r="100" s="112" customFormat="1" ht="15" hidden="1" customHeight="1">
      <x:c r="A100" s="207" t="inlineStr">
        <x:is>
          <x:t xml:space="preserve">KB1 · Dòng tiền ròng</x:t>
        </x:is>
      </x:c>
      <x:c r="B100" s="208" t="n">
        <x:f>-$I$81</x:f>
        <x:v>-600000000</x:v>
      </x:c>
      <x:c r="C100" s="208" t="n">
        <x:f>C99*($B$81-$C$81)-C98*$G$81-$H$81</x:f>
        <x:v>-204513980</x:v>
      </x:c>
      <x:c r="D100" s="208" t="n">
        <x:f>D99*($B$81-$C$81)-D98*$G$81-$H$81</x:f>
        <x:v>-182400529.9</x:v>
      </x:c>
      <x:c r="E100" s="208" t="n">
        <x:f>E99*($B$81-$C$81)-E98*$G$81-$H$81</x:f>
        <x:v>-160276669.00450003</x:v>
      </x:c>
      <x:c r="F100" s="208" t="n">
        <x:f>F99*($B$81-$C$81)-F98*$G$81-$H$81</x:f>
        <x:v>-138092589.99679753</x:v>
      </x:c>
      <x:c r="G100" s="208" t="n">
        <x:f>G99*($B$81-$C$81)-G98*$G$81-$H$81</x:f>
        <x:v>-115798213.09931664</x:v>
      </x:c>
      <x:c r="H100" s="208" t="n">
        <x:f>H99*($B$81-$C$81)-H98*$G$81-$H$81</x:f>
        <x:v>-93343072.64484116</x:v>
      </x:c>
      <x:c r="I100" s="208" t="n">
        <x:f>I99*($B$81-$C$81)-I98*$G$81-$H$81</x:f>
        <x:v>-70676202.46756673</x:v>
      </x:c>
      <x:c r="J100" s="208" t="n">
        <x:f>J99*($B$81-$C$81)-J98*$G$81-$H$81</x:f>
        <x:v>-47746019.852856815</x:v>
      </x:c>
      <x:c r="K100" s="208" t="n">
        <x:f>K99*($B$81-$C$81)-K98*$G$81-$H$81</x:f>
        <x:v>-24500207.780625403</x:v>
      </x:c>
      <x:c r="L100" s="208" t="n">
        <x:f>L99*($B$81-$C$81)-L98*$G$81-$H$81</x:f>
        <x:v>-885595.192701757</x:v>
      </x:c>
      <x:c r="M100" s="208" t="n">
        <x:f>M99*($B$81-$C$81)-M98*$G$81-$H$81</x:f>
        <x:v>23151964.990655124</x:v>
      </x:c>
      <x:c r="N100" s="208" t="n">
        <x:f>N99*($B$81-$C$81)-N98*$G$81-$H$81</x:f>
        <x:v>47667720.38574517</x:v>
      </x:c>
      <x:c r="O100" s="208" t="n">
        <x:f>O99*($B$81-$C$81)-O98*$G$81-$H$81</x:f>
        <x:v>72718146.47903967</x:v>
      </x:c>
      <x:c r="P100" s="208" t="n">
        <x:f>P99*($B$81-$C$81)-P98*$G$81-$H$81</x:f>
        <x:v>98361077.07366848</x:v>
      </x:c>
      <x:c r="Q100" s="208" t="n">
        <x:f>Q99*($B$81-$C$81)-Q98*$G$81-$H$81</x:f>
        <x:v>124655838.15084845</x:v>
      </x:c>
      <x:c r="R100" s="208" t="n">
        <x:f>R99*($B$81-$C$81)-R98*$G$81-$H$81</x:f>
        <x:v>151663385.4568299</x:v>
      </x:c>
      <x:c r="S100" s="208" t="n">
        <x:f>S99*($B$81-$C$81)-S98*$G$81-$H$81</x:f>
        <x:v>179446446.13518083</x:v>
      </x:c>
      <x:c r="T100" s="208" t="n">
        <x:f>T99*($B$81-$C$81)-T98*$G$81-$H$81</x:f>
        <x:v>208069664.7342013</x:v>
      </x:c>
      <x:c r="U100" s="208" t="n">
        <x:f>U99*($B$81-$C$81)-U98*$G$81-$H$81</x:f>
        <x:v>237599753.93002105</x:v>
      </x:c>
      <x:c r="V100" s="208" t="n">
        <x:f>V99*($B$81-$C$81)-V98*$G$81-$H$81</x:f>
        <x:v>268105650.31747186</x:v>
      </x:c>
      <x:c r="W100" s="208" t="n">
        <x:f>W99*($B$81-$C$81)-W98*$G$81-$H$81</x:f>
        <x:v>299658675.63320243</x:v>
      </x:c>
      <x:c r="X100" s="208" t="n">
        <x:f>X99*($B$81-$C$81)-X98*$G$81-$H$81</x:f>
        <x:v>332332703.7887259</x:v>
      </x:c>
      <x:c r="Y100" s="208" t="n">
        <x:f>Y99*($B$81-$C$81)-Y98*$G$81-$H$81</x:f>
        <x:v>366204334.10520166</x:v>
      </x:c>
      <x:c r="Z100" s="208" t="n">
        <x:f>Z99*($B$81-$C$81)-Z98*$G$81-$H$81</x:f>
        <x:v>401353071.1567848</x:v>
      </x:c>
    </x:row>
    <x:row r="101" s="112" customFormat="1" ht="15" hidden="1" customHeight="1">
      <x:c r="A101" s="207" t="inlineStr">
        <x:is>
          <x:t xml:space="preserve">KB1 · Tiền mặt cuối kỳ</x:t>
        </x:is>
      </x:c>
      <x:c r="B101" s="208" t="n">
        <x:f>$J$81+B100</x:f>
        <x:v>2400000000</x:v>
      </x:c>
      <x:c r="C101" s="208" t="n">
        <x:f>B101+C100</x:f>
        <x:v>2195486020</x:v>
      </x:c>
      <x:c r="D101" s="208" t="n">
        <x:f>C101+D100</x:f>
        <x:v>2013085490.1</x:v>
      </x:c>
      <x:c r="E101" s="208" t="n">
        <x:f>D101+E100</x:f>
        <x:v>1852808821.0955</x:v>
      </x:c>
      <x:c r="F101" s="208" t="n">
        <x:f>E101+F100</x:f>
        <x:v>1714716231.0987024</x:v>
      </x:c>
      <x:c r="G101" s="208" t="n">
        <x:f>F101+G100</x:f>
        <x:v>1598918017.9993858</x:v>
      </x:c>
      <x:c r="H101" s="208" t="n">
        <x:f>G101+H100</x:f>
        <x:v>1505574945.3545446</x:v>
      </x:c>
      <x:c r="I101" s="208" t="n">
        <x:f>H101+I100</x:f>
        <x:v>1434898742.886978</x:v>
      </x:c>
      <x:c r="J101" s="208" t="n">
        <x:f>I101+J100</x:f>
        <x:v>1387152723.034121</x:v>
      </x:c>
      <x:c r="K101" s="208" t="n">
        <x:f>J101+K100</x:f>
        <x:v>1362652515.2534957</x:v>
      </x:c>
      <x:c r="L101" s="208" t="n">
        <x:f>K101+L100</x:f>
        <x:v>1361766920.0607939</x:v>
      </x:c>
      <x:c r="M101" s="208" t="n">
        <x:f>L101+M100</x:f>
        <x:v>1384918885.051449</x:v>
      </x:c>
      <x:c r="N101" s="208" t="n">
        <x:f>M101+N100</x:f>
        <x:v>1432586605.4371943</x:v>
      </x:c>
      <x:c r="O101" s="208" t="n">
        <x:f>N101+O100</x:f>
        <x:v>1505304751.916234</x:v>
      </x:c>
      <x:c r="P101" s="208" t="n">
        <x:f>O101+P100</x:f>
        <x:v>1603665828.9899025</x:v>
      </x:c>
      <x:c r="Q101" s="208" t="n">
        <x:f>P101+Q100</x:f>
        <x:v>1728321667.140751</x:v>
      </x:c>
      <x:c r="R101" s="208" t="n">
        <x:f>Q101+R100</x:f>
        <x:v>1879985052.597581</x:v>
      </x:c>
      <x:c r="S101" s="208" t="n">
        <x:f>R101+S100</x:f>
        <x:v>2059431498.7327619</x:v>
      </x:c>
      <x:c r="T101" s="208" t="n">
        <x:f>S101+T100</x:f>
        <x:v>2267501163.4669633</x:v>
      </x:c>
      <x:c r="U101" s="208" t="n">
        <x:f>T101+U100</x:f>
        <x:v>2505100917.396984</x:v>
      </x:c>
      <x:c r="V101" s="208" t="n">
        <x:f>U101+V100</x:f>
        <x:v>2773206567.714456</x:v>
      </x:c>
      <x:c r="W101" s="208" t="n">
        <x:f>V101+W100</x:f>
        <x:v>3072865243.3476586</x:v>
      </x:c>
      <x:c r="X101" s="208" t="n">
        <x:f>W101+X100</x:f>
        <x:v>3405197947.1363845</x:v>
      </x:c>
      <x:c r="Y101" s="208" t="n">
        <x:f>X101+Y100</x:f>
        <x:v>3771402281.241586</x:v>
      </x:c>
      <x:c r="Z101" s="208" t="n">
        <x:f>Y101+Z100</x:f>
        <x:v>4172755352.3983707</x:v>
      </x:c>
    </x:row>
    <x:row r="102" s="112" customFormat="1" ht="15" hidden="1" customHeight="1">
      <x:c r="A102" s="207" t="inlineStr">
        <x:is>
          <x:t xml:space="preserve">KB1 · Dòng tiền lũy kế</x:t>
        </x:is>
      </x:c>
      <x:c r="B102" s="208" t="n">
        <x:f>B100</x:f>
        <x:v>-600000000</x:v>
      </x:c>
      <x:c r="C102" s="208" t="n">
        <x:f>B102+C100</x:f>
        <x:v>-804513980</x:v>
      </x:c>
      <x:c r="D102" s="208" t="n">
        <x:f>C102+D100</x:f>
        <x:v>-986914509.9</x:v>
      </x:c>
      <x:c r="E102" s="208" t="n">
        <x:f>D102+E100</x:f>
        <x:v>-1147191178.9045</x:v>
      </x:c>
      <x:c r="F102" s="208" t="n">
        <x:f>E102+F100</x:f>
        <x:v>-1285283768.9012976</x:v>
      </x:c>
      <x:c r="G102" s="208" t="n">
        <x:f>F102+G100</x:f>
        <x:v>-1401081982.0006142</x:v>
      </x:c>
      <x:c r="H102" s="208" t="n">
        <x:f>G102+H100</x:f>
        <x:v>-1494425054.6454554</x:v>
      </x:c>
      <x:c r="I102" s="208" t="n">
        <x:f>H102+I100</x:f>
        <x:v>-1565101257.113022</x:v>
      </x:c>
      <x:c r="J102" s="208" t="n">
        <x:f>I102+J100</x:f>
        <x:v>-1612847276.965879</x:v>
      </x:c>
      <x:c r="K102" s="208" t="n">
        <x:f>J102+K100</x:f>
        <x:v>-1637347484.7465043</x:v>
      </x:c>
      <x:c r="L102" s="208" t="n">
        <x:f>K102+L100</x:f>
        <x:v>-1638233079.9392061</x:v>
      </x:c>
      <x:c r="M102" s="208" t="n">
        <x:f>L102+M100</x:f>
        <x:v>-1615081114.948551</x:v>
      </x:c>
      <x:c r="N102" s="208" t="n">
        <x:f>M102+N100</x:f>
        <x:v>-1567413394.5628057</x:v>
      </x:c>
      <x:c r="O102" s="208" t="n">
        <x:f>N102+O100</x:f>
        <x:v>-1494695248.083766</x:v>
      </x:c>
      <x:c r="P102" s="208" t="n">
        <x:f>O102+P100</x:f>
        <x:v>-1396334171.0100975</x:v>
      </x:c>
      <x:c r="Q102" s="208" t="n">
        <x:f>P102+Q100</x:f>
        <x:v>-1271678332.859249</x:v>
      </x:c>
      <x:c r="R102" s="208" t="n">
        <x:f>Q102+R100</x:f>
        <x:v>-1120014947.402419</x:v>
      </x:c>
      <x:c r="S102" s="208" t="n">
        <x:f>R102+S100</x:f>
        <x:v>-940568501.2672383</x:v>
      </x:c>
      <x:c r="T102" s="208" t="n">
        <x:f>S102+T100</x:f>
        <x:v>-732498836.533037</x:v>
      </x:c>
      <x:c r="U102" s="208" t="n">
        <x:f>T102+U100</x:f>
        <x:v>-494899082.6030159</x:v>
      </x:c>
      <x:c r="V102" s="208" t="n">
        <x:f>U102+V100</x:f>
        <x:v>-226793432.28554404</x:v>
      </x:c>
      <x:c r="W102" s="208" t="n">
        <x:f>V102+W100</x:f>
        <x:v>72865243.3476584</x:v>
      </x:c>
      <x:c r="X102" s="208" t="n">
        <x:f>W102+X100</x:f>
        <x:v>405197947.1363843</x:v>
      </x:c>
      <x:c r="Y102" s="208" t="n">
        <x:f>X102+Y100</x:f>
        <x:v>771402281.241586</x:v>
      </x:c>
      <x:c r="Z102" s="208" t="n">
        <x:f>Y102+Z100</x:f>
        <x:v>1172755352.3983707</x:v>
      </x:c>
    </x:row>
    <x:row r="103" s="112" customFormat="1" ht="15" hidden="1" customHeight="1"/>
    <x:row r="104" s="112" customFormat="1" ht="15" hidden="1" customHeight="1">
      <x:c r="A104" s="207" t="inlineStr">
        <x:is>
          <x:t xml:space="preserve">KB2 · Khách mới</x:t>
        </x:is>
      </x:c>
      <x:c r="C104" s="209" t="n">
        <x:f>$D$82*(1+$E$82)^0</x:f>
        <x:v>10</x:v>
      </x:c>
      <x:c r="D104" s="209" t="n">
        <x:f>$D$82*(1+$E$82)^1</x:f>
        <x:v>10.5</x:v>
      </x:c>
      <x:c r="E104" s="209" t="n">
        <x:f>$D$82*(1+$E$82)^2</x:f>
        <x:v>11.025</x:v>
      </x:c>
      <x:c r="F104" s="209" t="n">
        <x:f>$D$82*(1+$E$82)^3</x:f>
        <x:v>11.576250000000002</x:v>
      </x:c>
      <x:c r="G104" s="209" t="n">
        <x:f>$D$82*(1+$E$82)^4</x:f>
        <x:v>12.155062500000003</x:v>
      </x:c>
      <x:c r="H104" s="209" t="n">
        <x:f>$D$82*(1+$E$82)^5</x:f>
        <x:v>12.762815625000004</x:v>
      </x:c>
      <x:c r="I104" s="209" t="n">
        <x:f>$D$82*(1+$E$82)^6</x:f>
        <x:v>13.400956406250003</x:v>
      </x:c>
      <x:c r="J104" s="209" t="n">
        <x:f>$D$82*(1+$E$82)^7</x:f>
        <x:v>14.071004226562504</x:v>
      </x:c>
      <x:c r="K104" s="209" t="n">
        <x:f>$D$82*(1+$E$82)^8</x:f>
        <x:v>14.77455443789063</x:v>
      </x:c>
      <x:c r="L104" s="209" t="n">
        <x:f>$D$82*(1+$E$82)^9</x:f>
        <x:v>15.513282159785163</x:v>
      </x:c>
      <x:c r="M104" s="209" t="n">
        <x:f>$D$82*(1+$E$82)^10</x:f>
        <x:v>16.28894626777442</x:v>
      </x:c>
      <x:c r="N104" s="209" t="n">
        <x:f>$D$82*(1+$E$82)^11</x:f>
        <x:v>17.103393581163143</x:v>
      </x:c>
      <x:c r="O104" s="209" t="n">
        <x:f>$D$82*(1+$E$82)^12</x:f>
        <x:v>17.9585632602213</x:v>
      </x:c>
      <x:c r="P104" s="209" t="n">
        <x:f>$D$82*(1+$E$82)^13</x:f>
        <x:v>18.856491423232367</x:v>
      </x:c>
      <x:c r="Q104" s="209" t="n">
        <x:f>$D$82*(1+$E$82)^14</x:f>
        <x:v>19.799315994393986</x:v>
      </x:c>
      <x:c r="R104" s="209" t="n">
        <x:f>$D$82*(1+$E$82)^15</x:f>
        <x:v>20.789281794113688</x:v>
      </x:c>
      <x:c r="S104" s="209" t="n">
        <x:f>$D$82*(1+$E$82)^16</x:f>
        <x:v>21.82874588381937</x:v>
      </x:c>
      <x:c r="T104" s="209" t="n">
        <x:f>$D$82*(1+$E$82)^17</x:f>
        <x:v>22.92018317801034</x:v>
      </x:c>
      <x:c r="U104" s="209" t="n">
        <x:f>$D$82*(1+$E$82)^18</x:f>
        <x:v>24.066192336910856</x:v>
      </x:c>
      <x:c r="V104" s="209" t="n">
        <x:f>$D$82*(1+$E$82)^19</x:f>
        <x:v>25.269501953756404</x:v>
      </x:c>
      <x:c r="W104" s="209" t="n">
        <x:f>$D$82*(1+$E$82)^20</x:f>
        <x:v>26.53297705144422</x:v>
      </x:c>
      <x:c r="X104" s="209" t="n">
        <x:f>$D$82*(1+$E$82)^21</x:f>
        <x:v>27.859625904016436</x:v>
      </x:c>
      <x:c r="Y104" s="209" t="n">
        <x:f>$D$82*(1+$E$82)^22</x:f>
        <x:v>29.25260719921726</x:v>
      </x:c>
      <x:c r="Z104" s="209" t="n">
        <x:f>$D$82*(1+$E$82)^23</x:f>
        <x:v>30.715237559178124</x:v>
      </x:c>
    </x:row>
    <x:row r="105" s="112" customFormat="1" ht="15" hidden="1" customHeight="1">
      <x:c r="A105" s="207" t="inlineStr">
        <x:is>
          <x:t xml:space="preserve">KB2 · Khách đang dùng</x:t>
        </x:is>
      </x:c>
      <x:c r="B105" s="207" t="n">
        <x:v>0</x:v>
      </x:c>
      <x:c r="C105" s="209" t="n">
        <x:f>B105*(1-$F$82)+C104</x:f>
        <x:v>10</x:v>
      </x:c>
      <x:c r="D105" s="209" t="n">
        <x:f>C105*(1-$F$82)+D104</x:f>
        <x:v>20.049999999999997</x:v>
      </x:c>
      <x:c r="E105" s="209" t="n">
        <x:f>D105*(1-$F$82)+E104</x:f>
        <x:v>30.172749999999994</x:v>
      </x:c>
      <x:c r="F105" s="209" t="n">
        <x:f>E105*(1-$F$82)+F104</x:f>
        <x:v>40.391226249999995</x:v>
      </x:c>
      <x:c r="G105" s="209" t="n">
        <x:f>F105*(1-$F$82)+G104</x:f>
        <x:v>50.72868356875</x:v>
      </x:c>
      <x:c r="H105" s="209" t="n">
        <x:f>G105*(1-$F$82)+H104</x:f>
        <x:v>61.20870843315625</x:v>
      </x:c>
      <x:c r="I105" s="209" t="n">
        <x:f>H105*(1-$F$82)+I104</x:f>
        <x:v>71.85527295991422</x:v>
      </x:c>
      <x:c r="J105" s="209" t="n">
        <x:f>I105*(1-$F$82)+J104</x:f>
        <x:v>82.69278990328058</x:v>
      </x:c>
      <x:c r="K105" s="209" t="n">
        <x:f>J105*(1-$F$82)+K104</x:f>
        <x:v>93.74616879552359</x:v>
      </x:c>
      <x:c r="L105" s="209" t="n">
        <x:f>K105*(1-$F$82)+L104</x:f>
        <x:v>105.04087335951019</x:v>
      </x:c>
      <x:c r="M105" s="209" t="n">
        <x:f>L105*(1-$F$82)+M104</x:f>
        <x:v>116.60298032610665</x:v>
      </x:c>
      <x:c r="N105" s="209" t="n">
        <x:f>M105*(1-$F$82)+N104</x:f>
        <x:v>128.45923979259499</x:v>
      </x:c>
      <x:c r="O105" s="209" t="n">
        <x:f>N105*(1-$F$82)+O104</x:f>
        <x:v>140.6371372621495</x:v>
      </x:c>
      <x:c r="P105" s="209" t="n">
        <x:f>O105*(1-$F$82)+P104</x:f>
        <x:v>153.16495750858513</x:v>
      </x:c>
      <x:c r="Q105" s="209" t="n">
        <x:f>P105*(1-$F$82)+Q104</x:f>
        <x:v>166.0718504150928</x:v>
      </x:c>
      <x:c r="R105" s="209" t="n">
        <x:f>Q105*(1-$F$82)+R104</x:f>
        <x:v>179.3878989405273</x:v>
      </x:c>
      <x:c r="S105" s="209" t="n">
        <x:f>R105*(1-$F$82)+S104</x:f>
        <x:v>193.14418937202294</x:v>
      </x:c>
      <x:c r="T105" s="209" t="n">
        <x:f>S105*(1-$F$82)+T104</x:f>
        <x:v>207.37288402829225</x:v>
      </x:c>
      <x:c r="U105" s="209" t="n">
        <x:f>T105*(1-$F$82)+U104</x:f>
        <x:v>222.10729658392995</x:v>
      </x:c>
      <x:c r="V105" s="209" t="n">
        <x:f>U105*(1-$F$82)+V104</x:f>
        <x:v>237.3819701914095</x:v>
      </x:c>
      <x:c r="W105" s="209" t="n">
        <x:f>V105*(1-$F$82)+W104</x:f>
        <x:v>253.2327585842403</x:v>
      </x:c>
      <x:c r="X105" s="209" t="n">
        <x:f>W105*(1-$F$82)+X104</x:f>
        <x:v>269.69691035196587</x:v>
      </x:c>
      <x:c r="Y105" s="209" t="n">
        <x:f>X105*(1-$F$82)+Y104</x:f>
        <x:v>286.81315658534464</x:v>
      </x:c>
      <x:c r="Z105" s="209" t="n">
        <x:f>Y105*(1-$F$82)+Z104</x:f>
        <x:v>304.6218020981823</x:v>
      </x:c>
    </x:row>
    <x:row r="106" s="112" customFormat="1" ht="15" hidden="1" customHeight="1">
      <x:c r="A106" s="207" t="inlineStr">
        <x:is>
          <x:t xml:space="preserve">KB2 · Dòng tiền ròng</x:t>
        </x:is>
      </x:c>
      <x:c r="B106" s="208" t="n">
        <x:f>-$I$82</x:f>
        <x:v>-600000000</x:v>
      </x:c>
      <x:c r="C106" s="208" t="n">
        <x:f>C105*($B$82-$C$82)-C104*$G$82-$H$82</x:f>
        <x:v>-197332776</x:v>
      </x:c>
      <x:c r="D106" s="208" t="n">
        <x:f>D105*($B$82-$C$82)-D104*$G$82-$H$82</x:f>
        <x:v>-168002215.88</x:v>
      </x:c>
      <x:c r="E106" s="208" t="n">
        <x:f>E105*($B$82-$C$82)-E104*$G$82-$H$82</x:f>
        <x:v>-138609001.70540002</x:v>
      </x:c>
      <x:c r="F106" s="208" t="n">
        <x:f>F105*($B$82-$C$82)-F104*$G$82-$H$82</x:f>
        <x:v>-109086826.44565703</x:v>
      </x:c>
      <x:c r="G106" s="208" t="n">
        <x:f>G105*($B$82-$C$82)-G104*$G$82-$H$82</x:f>
        <x:v>-79368910.56345248</x:v>
      </x:c>
      <x:c r="H106" s="208" t="n">
        <x:f>H105*($B$82-$C$82)-H104*$G$82-$H$82</x:f>
        <x:v>-49387850.46133962</x:v>
      </x:c>
      <x:c r="I106" s="208" t="n">
        <x:f>I105*($B$82-$C$82)-I104*$G$82-$H$82</x:f>
        <x:v>-19075465.107483953</x:v>
      </x:c>
      <x:c r="J106" s="208" t="n">
        <x:f>J105*($B$82-$C$82)-J104*$G$82-$H$82</x:f>
        <x:v>11637359.509602994</x:v>
      </x:c>
      <x:c r="K106" s="208" t="n">
        <x:f>K105*($B$82-$C$82)-K104*$G$82-$H$82</x:f>
        <x:v>42820828.45328349</x:v>
      </x:c>
      <x:c r="L106" s="208" t="n">
        <x:f>L105*($B$82-$C$82)-L104*$G$82-$H$82</x:f>
        <x:v>74546398.80057907</x:v>
      </x:c>
      <x:c r="M106" s="208" t="n">
        <x:f>M105*($B$82-$C$82)-M104*$G$82-$H$82</x:f>
        <x:v>106886943.86363095</x:v>
      </x:c>
      <x:c r="N106" s="208" t="n">
        <x:f>N105*($B$82-$C$82)-N104*$G$82-$H$82</x:f>
        <x:v>139916921.04929936</x:v>
      </x:c>
      <x:c r="O106" s="208" t="n">
        <x:f>O105*($B$82-$C$82)-O104*$G$82-$H$82</x:f>
        <x:v>173712543.74458933</x:v>
      </x:c>
      <x:c r="P106" s="208" t="n">
        <x:f>P105*($B$82-$C$82)-P104*$G$82-$H$82</x:f>
        <x:v>208351957.62571663</x:v>
      </x:c>
      <x:c r="Q106" s="208" t="n">
        <x:f>Q105*($B$82-$C$82)-Q104*$G$82-$H$82</x:f>
        <x:v>243915421.79967505</x:v>
      </x:c>
      <x:c r="R106" s="208" t="n">
        <x:f>R105*($B$82-$C$82)-R104*$G$82-$H$82</x:f>
        <x:v>280485495.19916093</x:v>
      </x:c>
      <x:c r="S106" s="208" t="n">
        <x:f>S105*($B$82-$C$82)-S104*$G$82-$H$82</x:f>
        <x:v>318147228.66469365</x:v>
      </x:c>
      <x:c r="T106" s="208" t="n">
        <x:f>T105*($B$82-$C$82)-T104*$G$82-$H$82</x:f>
        <x:v>356988363.1617521</x:v>
      </x:c>
      <x:c r="U106" s="208" t="n">
        <x:f>U105*($B$82-$C$82)-U104*$G$82-$H$82</x:f>
        <x:v>397099534.59579146</x:v>
      </x:c>
      <x:c r="V106" s="208" t="n">
        <x:f>V105*($B$82-$C$82)-V104*$G$82-$H$82</x:f>
        <x:v>438574485.7041148</x:v>
      </x:c>
      <x:c r="W106" s="208" t="n">
        <x:f>W105*($B$82-$C$82)-W104*$G$82-$H$82</x:f>
        <x:v>481510285.5208205</x:v>
      </x:c>
      <x:c r="X106" s="208" t="n">
        <x:f>X105*($B$82-$C$82)-X104*$G$82-$H$82</x:f>
        <x:v>526007556.9294436</x:v>
      </x:c>
      <x:c r="Y106" s="208" t="n">
        <x:f>Y105*($B$82-$C$82)-Y104*$G$82-$H$82</x:f>
        <x:v>572170712.837532</x:v>
      </x:c>
      <x:c r="Z106" s="208" t="n">
        <x:f>Z105*($B$82-$C$82)-Z104*$G$82-$H$82</x:f>
        <x:v>620108201.5282521</x:v>
      </x:c>
    </x:row>
    <x:row r="107" s="112" customFormat="1" ht="15" hidden="1" customHeight="1">
      <x:c r="A107" s="207" t="inlineStr">
        <x:is>
          <x:t xml:space="preserve">KB2 · Tiền mặt cuối kỳ</x:t>
        </x:is>
      </x:c>
      <x:c r="B107" s="208" t="n">
        <x:f>$J$82+B106</x:f>
        <x:v>2400000000</x:v>
      </x:c>
      <x:c r="C107" s="208" t="n">
        <x:f>B107+C106</x:f>
        <x:v>2202667224</x:v>
      </x:c>
      <x:c r="D107" s="208" t="n">
        <x:f>C107+D106</x:f>
        <x:v>2034665008.12</x:v>
      </x:c>
      <x:c r="E107" s="208" t="n">
        <x:f>D107+E106</x:f>
        <x:v>1896056006.4146</x:v>
      </x:c>
      <x:c r="F107" s="208" t="n">
        <x:f>E107+F106</x:f>
        <x:v>1786969179.9689429</x:v>
      </x:c>
      <x:c r="G107" s="208" t="n">
        <x:f>F107+G106</x:f>
        <x:v>1707600269.4054904</x:v>
      </x:c>
      <x:c r="H107" s="208" t="n">
        <x:f>G107+H106</x:f>
        <x:v>1658212418.9441507</x:v>
      </x:c>
      <x:c r="I107" s="208" t="n">
        <x:f>H107+I106</x:f>
        <x:v>1639136953.8366668</x:v>
      </x:c>
      <x:c r="J107" s="208" t="n">
        <x:f>I107+J106</x:f>
        <x:v>1650774313.3462698</x:v>
      </x:c>
      <x:c r="K107" s="208" t="n">
        <x:f>J107+K106</x:f>
        <x:v>1693595141.7995534</x:v>
      </x:c>
      <x:c r="L107" s="208" t="n">
        <x:f>K107+L106</x:f>
        <x:v>1768141540.6001325</x:v>
      </x:c>
      <x:c r="M107" s="208" t="n">
        <x:f>L107+M106</x:f>
        <x:v>1875028484.4637635</x:v>
      </x:c>
      <x:c r="N107" s="208" t="n">
        <x:f>M107+N106</x:f>
        <x:v>2014945405.513063</x:v>
      </x:c>
      <x:c r="O107" s="208" t="n">
        <x:f>N107+O106</x:f>
        <x:v>2188657949.2576523</x:v>
      </x:c>
      <x:c r="P107" s="208" t="n">
        <x:f>O107+P106</x:f>
        <x:v>2397009906.883369</x:v>
      </x:c>
      <x:c r="Q107" s="208" t="n">
        <x:f>P107+Q106</x:f>
        <x:v>2640925328.683044</x:v>
      </x:c>
      <x:c r="R107" s="208" t="n">
        <x:f>Q107+R106</x:f>
        <x:v>2921410823.882205</x:v>
      </x:c>
      <x:c r="S107" s="208" t="n">
        <x:f>R107+S106</x:f>
        <x:v>3239558052.546899</x:v>
      </x:c>
      <x:c r="T107" s="208" t="n">
        <x:f>S107+T106</x:f>
        <x:v>3596546415.708651</x:v>
      </x:c>
      <x:c r="U107" s="208" t="n">
        <x:f>T107+U106</x:f>
        <x:v>3993645950.3044424</x:v>
      </x:c>
      <x:c r="V107" s="208" t="n">
        <x:f>U107+V106</x:f>
        <x:v>4432220436.008557</x:v>
      </x:c>
      <x:c r="W107" s="208" t="n">
        <x:f>V107+W106</x:f>
        <x:v>4913730721.529378</x:v>
      </x:c>
      <x:c r="X107" s="208" t="n">
        <x:f>W107+X106</x:f>
        <x:v>5439738278.458821</x:v>
      </x:c>
      <x:c r="Y107" s="208" t="n">
        <x:f>X107+Y106</x:f>
        <x:v>6011908991.296353</x:v>
      </x:c>
      <x:c r="Z107" s="208" t="n">
        <x:f>Y107+Z106</x:f>
        <x:v>6632017192.824606</x:v>
      </x:c>
    </x:row>
    <x:row r="108" s="112" customFormat="1" ht="15" hidden="1" customHeight="1">
      <x:c r="A108" s="207" t="inlineStr">
        <x:is>
          <x:t xml:space="preserve">KB2 · Dòng tiền lũy kế</x:t>
        </x:is>
      </x:c>
      <x:c r="B108" s="208" t="n">
        <x:f>B106</x:f>
        <x:v>-600000000</x:v>
      </x:c>
      <x:c r="C108" s="208" t="n">
        <x:f>B108+C106</x:f>
        <x:v>-797332776</x:v>
      </x:c>
      <x:c r="D108" s="208" t="n">
        <x:f>C108+D106</x:f>
        <x:v>-965334991.88</x:v>
      </x:c>
      <x:c r="E108" s="208" t="n">
        <x:f>D108+E106</x:f>
        <x:v>-1103943993.5854</x:v>
      </x:c>
      <x:c r="F108" s="208" t="n">
        <x:f>E108+F106</x:f>
        <x:v>-1213030820.0310571</x:v>
      </x:c>
      <x:c r="G108" s="208" t="n">
        <x:f>F108+G106</x:f>
        <x:v>-1292399730.5945096</x:v>
      </x:c>
      <x:c r="H108" s="208" t="n">
        <x:f>G108+H106</x:f>
        <x:v>-1341787581.0558493</x:v>
      </x:c>
      <x:c r="I108" s="208" t="n">
        <x:f>H108+I106</x:f>
        <x:v>-1360863046.1633332</x:v>
      </x:c>
      <x:c r="J108" s="208" t="n">
        <x:f>I108+J106</x:f>
        <x:v>-1349225686.6537302</x:v>
      </x:c>
      <x:c r="K108" s="208" t="n">
        <x:f>J108+K106</x:f>
        <x:v>-1306404858.2004466</x:v>
      </x:c>
      <x:c r="L108" s="208" t="n">
        <x:f>K108+L106</x:f>
        <x:v>-1231858459.3998675</x:v>
      </x:c>
      <x:c r="M108" s="208" t="n">
        <x:f>L108+M106</x:f>
        <x:v>-1124971515.5362365</x:v>
      </x:c>
      <x:c r="N108" s="208" t="n">
        <x:f>M108+N106</x:f>
        <x:v>-985054594.4869372</x:v>
      </x:c>
      <x:c r="O108" s="208" t="n">
        <x:f>N108+O106</x:f>
        <x:v>-811342050.7423478</x:v>
      </x:c>
      <x:c r="P108" s="208" t="n">
        <x:f>O108+P106</x:f>
        <x:v>-602990093.1166313</x:v>
      </x:c>
      <x:c r="Q108" s="208" t="n">
        <x:f>P108+Q106</x:f>
        <x:v>-359074671.3169562</x:v>
      </x:c>
      <x:c r="R108" s="208" t="n">
        <x:f>Q108+R106</x:f>
        <x:v>-78589176.11779529</x:v>
      </x:c>
      <x:c r="S108" s="208" t="n">
        <x:f>R108+S106</x:f>
        <x:v>239558052.54689837</x:v>
      </x:c>
      <x:c r="T108" s="208" t="n">
        <x:f>S108+T106</x:f>
        <x:v>596546415.7086505</x:v>
      </x:c>
      <x:c r="U108" s="208" t="n">
        <x:f>T108+U106</x:f>
        <x:v>993645950.3044419</x:v>
      </x:c>
      <x:c r="V108" s="208" t="n">
        <x:f>U108+V106</x:f>
        <x:v>1432220436.0085568</x:v>
      </x:c>
      <x:c r="W108" s="208" t="n">
        <x:f>V108+W106</x:f>
        <x:v>1913730721.5293775</x:v>
      </x:c>
      <x:c r="X108" s="208" t="n">
        <x:f>W108+X106</x:f>
        <x:v>2439738278.4588213</x:v>
      </x:c>
      <x:c r="Y108" s="208" t="n">
        <x:f>X108+Y106</x:f>
        <x:v>3011908991.2963533</x:v>
      </x:c>
      <x:c r="Z108" s="208" t="n">
        <x:f>Y108+Z106</x:f>
        <x:v>3632017192.8246055</x:v>
      </x:c>
    </x:row>
    <x:row r="109" s="112" customFormat="1" ht="15" hidden="1" customHeight="1"/>
    <x:row r="110" s="112" customFormat="1" ht="15" hidden="1" customHeight="1">
      <x:c r="A110" s="207" t="inlineStr">
        <x:is>
          <x:t xml:space="preserve">KB3 · Khách mới</x:t>
        </x:is>
      </x:c>
      <x:c r="C110" s="209" t="n">
        <x:f>$D$83*(1+$E$83)^0</x:f>
        <x:v>10</x:v>
      </x:c>
      <x:c r="D110" s="209" t="n">
        <x:f>$D$83*(1+$E$83)^1</x:f>
        <x:v>10.5</x:v>
      </x:c>
      <x:c r="E110" s="209" t="n">
        <x:f>$D$83*(1+$E$83)^2</x:f>
        <x:v>11.025</x:v>
      </x:c>
      <x:c r="F110" s="209" t="n">
        <x:f>$D$83*(1+$E$83)^3</x:f>
        <x:v>11.576250000000002</x:v>
      </x:c>
      <x:c r="G110" s="209" t="n">
        <x:f>$D$83*(1+$E$83)^4</x:f>
        <x:v>12.155062500000003</x:v>
      </x:c>
      <x:c r="H110" s="209" t="n">
        <x:f>$D$83*(1+$E$83)^5</x:f>
        <x:v>12.762815625000004</x:v>
      </x:c>
      <x:c r="I110" s="209" t="n">
        <x:f>$D$83*(1+$E$83)^6</x:f>
        <x:v>13.400956406250003</x:v>
      </x:c>
      <x:c r="J110" s="209" t="n">
        <x:f>$D$83*(1+$E$83)^7</x:f>
        <x:v>14.071004226562504</x:v>
      </x:c>
      <x:c r="K110" s="209" t="n">
        <x:f>$D$83*(1+$E$83)^8</x:f>
        <x:v>14.77455443789063</x:v>
      </x:c>
      <x:c r="L110" s="209" t="n">
        <x:f>$D$83*(1+$E$83)^9</x:f>
        <x:v>15.513282159785163</x:v>
      </x:c>
      <x:c r="M110" s="209" t="n">
        <x:f>$D$83*(1+$E$83)^10</x:f>
        <x:v>16.28894626777442</x:v>
      </x:c>
      <x:c r="N110" s="209" t="n">
        <x:f>$D$83*(1+$E$83)^11</x:f>
        <x:v>17.103393581163143</x:v>
      </x:c>
      <x:c r="O110" s="209" t="n">
        <x:f>$D$83*(1+$E$83)^12</x:f>
        <x:v>17.9585632602213</x:v>
      </x:c>
      <x:c r="P110" s="209" t="n">
        <x:f>$D$83*(1+$E$83)^13</x:f>
        <x:v>18.856491423232367</x:v>
      </x:c>
      <x:c r="Q110" s="209" t="n">
        <x:f>$D$83*(1+$E$83)^14</x:f>
        <x:v>19.799315994393986</x:v>
      </x:c>
      <x:c r="R110" s="209" t="n">
        <x:f>$D$83*(1+$E$83)^15</x:f>
        <x:v>20.789281794113688</x:v>
      </x:c>
      <x:c r="S110" s="209" t="n">
        <x:f>$D$83*(1+$E$83)^16</x:f>
        <x:v>21.82874588381937</x:v>
      </x:c>
      <x:c r="T110" s="209" t="n">
        <x:f>$D$83*(1+$E$83)^17</x:f>
        <x:v>22.92018317801034</x:v>
      </x:c>
      <x:c r="U110" s="209" t="n">
        <x:f>$D$83*(1+$E$83)^18</x:f>
        <x:v>24.066192336910856</x:v>
      </x:c>
      <x:c r="V110" s="209" t="n">
        <x:f>$D$83*(1+$E$83)^19</x:f>
        <x:v>25.269501953756404</x:v>
      </x:c>
      <x:c r="W110" s="209" t="n">
        <x:f>$D$83*(1+$E$83)^20</x:f>
        <x:v>26.53297705144422</x:v>
      </x:c>
      <x:c r="X110" s="209" t="n">
        <x:f>$D$83*(1+$E$83)^21</x:f>
        <x:v>27.859625904016436</x:v>
      </x:c>
      <x:c r="Y110" s="209" t="n">
        <x:f>$D$83*(1+$E$83)^22</x:f>
        <x:v>29.25260719921726</x:v>
      </x:c>
      <x:c r="Z110" s="209" t="n">
        <x:f>$D$83*(1+$E$83)^23</x:f>
        <x:v>30.715237559178124</x:v>
      </x:c>
    </x:row>
    <x:row r="111" s="112" customFormat="1" ht="15" hidden="1" customHeight="1">
      <x:c r="A111" s="207" t="inlineStr">
        <x:is>
          <x:t xml:space="preserve">KB3 · Khách đang dùng</x:t>
        </x:is>
      </x:c>
      <x:c r="B111" s="207" t="n">
        <x:v>0</x:v>
      </x:c>
      <x:c r="C111" s="209" t="n">
        <x:f>B111*(1-$F$83)+C110</x:f>
        <x:v>10</x:v>
      </x:c>
      <x:c r="D111" s="209" t="n">
        <x:f>C111*(1-$F$83)+D110</x:f>
        <x:v>19.96</x:v>
      </x:c>
      <x:c r="E111" s="209" t="n">
        <x:f>D111*(1-$F$83)+E110</x:f>
        <x:v>29.907159999999998</x:v>
      </x:c>
      <x:c r="F111" s="209" t="n">
        <x:f>E111*(1-$F$83)+F110</x:f>
        <x:v>39.868423359999994</x:v>
      </x:c>
      <x:c r="G111" s="209" t="n">
        <x:f>F111*(1-$F$83)+G110</x:f>
        <x:v>49.87059099855999</x:v>
      </x:c>
      <x:c r="H111" s="209" t="n">
        <x:f>G111*(1-$F$83)+H110</x:f>
        <x:v>59.94039470963775</x:v>
      </x:c>
      <x:c r="I111" s="209" t="n">
        <x:f>H111*(1-$F$83)+I110</x:f>
        <x:v>70.10456980156732</x:v>
      </x:c>
      <x:c r="J111" s="209" t="n">
        <x:f>I111*(1-$F$83)+J110</x:f>
        <x:v>80.38992725884519</x:v>
      </x:c>
      <x:c r="K111" s="209" t="n">
        <x:f>J111*(1-$F$83)+K110</x:f>
        <x:v>90.82342562475817</x:v>
      </x:c>
      <x:c r="L111" s="209" t="n">
        <x:f>K111*(1-$F$83)+L110</x:f>
        <x:v>101.43224280080639</x:v>
      </x:c>
      <x:c r="M111" s="209" t="n">
        <x:f>L111*(1-$F$83)+M110</x:f>
        <x:v>112.24384795733727</x:v>
      </x:c>
      <x:c r="N111" s="209" t="n">
        <x:f>M111*(1-$F$83)+N110</x:f>
        <x:v>123.2860737488042</x:v>
      </x:c>
      <x:c r="O111" s="209" t="n">
        <x:f>N111*(1-$F$83)+O110</x:f>
        <x:v>134.58718902659007</x:v>
      </x:c>
      <x:c r="P111" s="209" t="n">
        <x:f>O111*(1-$F$83)+P110</x:f>
        <x:v>146.17597224238656</x:v>
      </x:c>
      <x:c r="Q111" s="209" t="n">
        <x:f>P111*(1-$F$83)+Q110</x:f>
        <x:v>158.08178573569168</x:v>
      </x:c>
      <x:c r="R111" s="209" t="n">
        <x:f>Q111*(1-$F$83)+R110</x:f>
        <x:v>170.33465110007802</x:v>
      </x:c>
      <x:c r="S111" s="209" t="n">
        <x:f>R111*(1-$F$83)+S110</x:f>
        <x:v>182.9653258244932</x:v>
      </x:c>
      <x:c r="T111" s="209" t="n">
        <x:f>S111*(1-$F$83)+T110</x:f>
        <x:v>196.0053814079809</x:v>
      </x:c>
      <x:c r="U111" s="209" t="n">
        <x:f>T111*(1-$F$83)+U110</x:f>
        <x:v>209.4872831488608</x:v>
      </x:c>
      <x:c r="V111" s="209" t="n">
        <x:f>U111*(1-$F$83)+V110</x:f>
        <x:v>223.44447181257868</x:v>
      </x:c>
      <x:c r="W111" s="209" t="n">
        <x:f>V111*(1-$F$83)+W110</x:f>
        <x:v>237.91144738614364</x:v>
      </x:c>
      <x:c r="X111" s="209" t="n">
        <x:f>W111*(1-$F$83)+X110</x:f>
        <x:v>252.9238551313083</x:v>
      </x:c>
      <x:c r="Y111" s="209" t="n">
        <x:f>X111*(1-$F$83)+Y110</x:f>
        <x:v>268.5185741534349</x:v>
      </x:c>
      <x:c r="Z111" s="209" t="n">
        <x:f>Y111*(1-$F$83)+Z110</x:f>
        <x:v>284.7338087083275</x:v>
      </x:c>
    </x:row>
    <x:row r="112" s="112" customFormat="1" ht="15" hidden="1" customHeight="1">
      <x:c r="A112" s="207" t="inlineStr">
        <x:is>
          <x:t xml:space="preserve">KB3 · Dòng tiền ròng</x:t>
        </x:is>
      </x:c>
      <x:c r="B112" s="208" t="n">
        <x:f>-$I$83</x:f>
        <x:v>-600000000</x:v>
      </x:c>
      <x:c r="C112" s="208" t="n">
        <x:f>C111*($B$83-$C$83)-C110*$G$83-$H$83</x:f>
        <x:v>-194093980</x:v>
      </x:c>
      <x:c r="D112" s="208" t="n">
        <x:f>D111*($B$83-$C$83)-D110*$G$83-$H$83</x:f>
        <x:v>-161831584.07999998</x:v>
      </x:c>
      <x:c r="E112" s="208" t="n">
        <x:f>E111*($B$83-$C$83)-E110*$G$83-$H$83</x:f>
        <x:v>-129790291.48968</x:v>
      </x:c>
      <x:c r="F112" s="208" t="n">
        <x:f>F111*($B$83-$C$83)-F110*$G$83-$H$83</x:f>
        <x:v>-97882109.34673731</x:v>
      </x:c>
      <x:c r="G112" s="208" t="n">
        <x:f>G111*($B$83-$C$83)-G110*$G$83-$H$83</x:f>
        <x:v>-66019993.719388545</x:v>
      </x:c>
      <x:c r="H112" s="208" t="n">
        <x:f>H111*($B$83-$C$83)-H110*$G$83-$H$83</x:f>
        <x:v>-34117608.249785304</x:v>
      </x:c>
      <x:c r="I112" s="208" t="n">
        <x:f>I111*($B$83-$C$83)-I110*$G$83-$H$83</x:f>
        <x:v>-2089086.3051027954</x:v>
      </x:c>
      <x:c r="J112" s="208" t="n">
        <x:f>J111*($B$83-$C$83)-J110*$G$83-$H$83</x:f>
        <x:v>30151204.00952652</x:v>
      </x:c>
      <x:c r="K112" s="208" t="n">
        <x:f>K111*($B$83-$C$83)-K110*$G$83-$H$83</x:f>
        <x:v>62688892.629873514</x:v>
      </x:c>
      <x:c r="L112" s="208" t="n">
        <x:f>L111*($B$83-$C$83)-L110*$G$83-$H$83</x:f>
        <x:v>95609838.74656492</x:v>
      </x:c>
      <x:c r="M112" s="208" t="n">
        <x:f>M111*($B$83-$C$83)-M110*$G$83-$H$83</x:f>
        <x:v>129000361.08889014</x:v>
      </x:c>
      <x:c r="N112" s="208" t="n">
        <x:f>N111*($B$83-$C$83)-N110*$G$83-$H$83</x:f>
        <x:v>162947467.90646183</x:v>
      </x:c>
      <x:c r="O112" s="208" t="n">
        <x:f>O111*($B$83-$C$83)-O110*$G$83-$H$83</x:f>
        <x:v>197539087.27170324</x:v>
      </x:c>
      <x:c r="P112" s="208" t="n">
        <x:f>P111*($B$83-$C$83)-P110*$G$83-$H$83</x:f>
        <x:v>232864298.3228311</x:v>
      </x:c>
      <x:c r="Q112" s="208" t="n">
        <x:f>Q111*($B$83-$C$83)-Q110*$G$83-$H$83</x:f>
        <x:v>269013564.06538814</x:v>
      </x:c>
      <x:c r="R112" s="208" t="n">
        <x:f>R111*($B$83-$C$83)-R110*$G$83-$H$83</x:f>
        <x:v>306078966.3504466</x:v>
      </x:c>
      <x:c r="S112" s="208" t="n">
        <x:f>S111*($B$83-$C$83)-S110*$G$83-$H$83</x:f>
        <x:v>344154443.6493413</x:v>
      </x:c>
      <x:c r="T112" s="208" t="n">
        <x:f>T111*($B$83-$C$83)-T110*$G$83-$H$83</x:f>
        <x:v>383336032.2481866</x:v>
      </x:c>
      <x:c r="U112" s="208" t="n">
        <x:f>U111*($B$83-$C$83)-U110*$G$83-$H$83</x:f>
        <x:v>423722111.49048984</x:v>
      </x:c>
      <x:c r="V112" s="208" t="n">
        <x:f>V111*($B$83-$C$83)-V110*$G$83-$H$83</x:f>
        <x:v>465413653.70289385</x:v>
      </x:c>
      <x:c r="W112" s="208" t="n">
        <x:f>W111*($B$83-$C$83)-W110*$G$83-$H$83</x:f>
        <x:v>508514479.4474726</x:v>
      </x:c>
      <x:c r="X112" s="208" t="n">
        <x:f>X111*($B$83-$C$83)-X110*$G$83-$H$83</x:f>
        <x:v>553131518.7540708</x:v>
      </x:c>
      <x:c r="Y112" s="208" t="n">
        <x:f>Y111*($B$83-$C$83)-Y110*$G$83-$H$83</x:f>
        <x:v>599375078.9979508</x:v>
      </x:c>
      <x:c r="Z112" s="208" t="n">
        <x:f>Z111*($B$83-$C$83)-Z110*$G$83-$H$83</x:f>
        <x:v>647359120.1014912</x:v>
      </x:c>
    </x:row>
    <x:row r="113" s="112" customFormat="1" ht="15" hidden="1" customHeight="1">
      <x:c r="A113" s="207" t="inlineStr">
        <x:is>
          <x:t xml:space="preserve">KB3 · Tiền mặt cuối kỳ</x:t>
        </x:is>
      </x:c>
      <x:c r="B113" s="208" t="n">
        <x:f>$J$83+B112</x:f>
        <x:v>2400000000</x:v>
      </x:c>
      <x:c r="C113" s="208" t="n">
        <x:f>B113+C112</x:f>
        <x:v>2205906020</x:v>
      </x:c>
      <x:c r="D113" s="208" t="n">
        <x:f>C113+D112</x:f>
        <x:v>2044074435.92</x:v>
      </x:c>
      <x:c r="E113" s="208" t="n">
        <x:f>D113+E112</x:f>
        <x:v>1914284144.43032</x:v>
      </x:c>
      <x:c r="F113" s="208" t="n">
        <x:f>E113+F112</x:f>
        <x:v>1816402035.0835826</x:v>
      </x:c>
      <x:c r="G113" s="208" t="n">
        <x:f>F113+G112</x:f>
        <x:v>1750382041.3641942</x:v>
      </x:c>
      <x:c r="H113" s="208" t="n">
        <x:f>G113+H112</x:f>
        <x:v>1716264433.114409</x:v>
      </x:c>
      <x:c r="I113" s="208" t="n">
        <x:f>H113+I112</x:f>
        <x:v>1714175346.8093061</x:v>
      </x:c>
      <x:c r="J113" s="208" t="n">
        <x:f>I113+J112</x:f>
        <x:v>1744326550.8188326</x:v>
      </x:c>
      <x:c r="K113" s="208" t="n">
        <x:f>J113+K112</x:f>
        <x:v>1807015443.4487062</x:v>
      </x:c>
      <x:c r="L113" s="208" t="n">
        <x:f>K113+L112</x:f>
        <x:v>1902625282.195271</x:v>
      </x:c>
      <x:c r="M113" s="208" t="n">
        <x:f>L113+M112</x:f>
        <x:v>2031625643.284161</x:v>
      </x:c>
      <x:c r="N113" s="208" t="n">
        <x:f>M113+N112</x:f>
        <x:v>2194573111.190623</x:v>
      </x:c>
      <x:c r="O113" s="208" t="n">
        <x:f>N113+O112</x:f>
        <x:v>2392112198.462326</x:v>
      </x:c>
      <x:c r="P113" s="208" t="n">
        <x:f>O113+P112</x:f>
        <x:v>2624976496.785157</x:v>
      </x:c>
      <x:c r="Q113" s="208" t="n">
        <x:f>P113+Q112</x:f>
        <x:v>2893990060.8505454</x:v>
      </x:c>
      <x:c r="R113" s="208" t="n">
        <x:f>Q113+R112</x:f>
        <x:v>3200069027.200992</x:v>
      </x:c>
      <x:c r="S113" s="208" t="n">
        <x:f>R113+S112</x:f>
        <x:v>3544223470.850333</x:v>
      </x:c>
      <x:c r="T113" s="208" t="n">
        <x:f>S113+T112</x:f>
        <x:v>3927559503.09852</x:v>
      </x:c>
      <x:c r="U113" s="208" t="n">
        <x:f>T113+U112</x:f>
        <x:v>4351281614.589009</x:v>
      </x:c>
      <x:c r="V113" s="208" t="n">
        <x:f>U113+V112</x:f>
        <x:v>4816695268.2919035</x:v>
      </x:c>
      <x:c r="W113" s="208" t="n">
        <x:f>V113+W112</x:f>
        <x:v>5325209747.739376</x:v>
      </x:c>
      <x:c r="X113" s="208" t="n">
        <x:f>W113+X112</x:f>
        <x:v>5878341266.493446</x:v>
      </x:c>
      <x:c r="Y113" s="208" t="n">
        <x:f>X113+Y112</x:f>
        <x:v>6477716345.491397</x:v>
      </x:c>
      <x:c r="Z113" s="208" t="n">
        <x:f>Y113+Z112</x:f>
        <x:v>7125075465.592888</x:v>
      </x:c>
    </x:row>
    <x:row r="114" s="112" customFormat="1" ht="15" hidden="1" customHeight="1">
      <x:c r="A114" s="207" t="inlineStr">
        <x:is>
          <x:t xml:space="preserve">KB3 · Dòng tiền lũy kế</x:t>
        </x:is>
      </x:c>
      <x:c r="B114" s="208" t="n">
        <x:f>B112</x:f>
        <x:v>-600000000</x:v>
      </x:c>
      <x:c r="C114" s="208" t="n">
        <x:f>B114+C112</x:f>
        <x:v>-794093980</x:v>
      </x:c>
      <x:c r="D114" s="208" t="n">
        <x:f>C114+D112</x:f>
        <x:v>-955925564.0799999</x:v>
      </x:c>
      <x:c r="E114" s="208" t="n">
        <x:f>D114+E112</x:f>
        <x:v>-1085715855.56968</x:v>
      </x:c>
      <x:c r="F114" s="208" t="n">
        <x:f>E114+F112</x:f>
        <x:v>-1183597964.9164174</x:v>
      </x:c>
      <x:c r="G114" s="208" t="n">
        <x:f>F114+G112</x:f>
        <x:v>-1249617958.6358058</x:v>
      </x:c>
      <x:c r="H114" s="208" t="n">
        <x:f>G114+H112</x:f>
        <x:v>-1283735566.885591</x:v>
      </x:c>
      <x:c r="I114" s="208" t="n">
        <x:f>H114+I112</x:f>
        <x:v>-1285824653.1906939</x:v>
      </x:c>
      <x:c r="J114" s="208" t="n">
        <x:f>I114+J112</x:f>
        <x:v>-1255673449.1811674</x:v>
      </x:c>
      <x:c r="K114" s="208" t="n">
        <x:f>J114+K112</x:f>
        <x:v>-1192984556.5512938</x:v>
      </x:c>
      <x:c r="L114" s="208" t="n">
        <x:f>K114+L112</x:f>
        <x:v>-1097374717.804729</x:v>
      </x:c>
      <x:c r="M114" s="208" t="n">
        <x:f>L114+M112</x:f>
        <x:v>-968374356.7158389</x:v>
      </x:c>
      <x:c r="N114" s="208" t="n">
        <x:f>M114+N112</x:f>
        <x:v>-805426888.8093771</x:v>
      </x:c>
      <x:c r="O114" s="208" t="n">
        <x:f>N114+O112</x:f>
        <x:v>-607887801.5376738</x:v>
      </x:c>
      <x:c r="P114" s="208" t="n">
        <x:f>O114+P112</x:f>
        <x:v>-375023503.21484274</x:v>
      </x:c>
      <x:c r="Q114" s="208" t="n">
        <x:f>P114+Q112</x:f>
        <x:v>-106009939.1494546</x:v>
      </x:c>
      <x:c r="R114" s="208" t="n">
        <x:f>Q114+R112</x:f>
        <x:v>200069027.200992</x:v>
      </x:c>
      <x:c r="S114" s="208" t="n">
        <x:f>R114+S112</x:f>
        <x:v>544223470.8503332</x:v>
      </x:c>
      <x:c r="T114" s="208" t="n">
        <x:f>S114+T112</x:f>
        <x:v>927559503.0985198</x:v>
      </x:c>
      <x:c r="U114" s="208" t="n">
        <x:f>T114+U112</x:f>
        <x:v>1351281614.5890098</x:v>
      </x:c>
      <x:c r="V114" s="208" t="n">
        <x:f>U114+V112</x:f>
        <x:v>1816695268.2919035</x:v>
      </x:c>
      <x:c r="W114" s="208" t="n">
        <x:f>V114+W112</x:f>
        <x:v>2325209747.739376</x:v>
      </x:c>
      <x:c r="X114" s="208" t="n">
        <x:f>W114+X112</x:f>
        <x:v>2878341266.493447</x:v>
      </x:c>
      <x:c r="Y114" s="208" t="n">
        <x:f>X114+Y112</x:f>
        <x:v>3477716345.491398</x:v>
      </x:c>
      <x:c r="Z114" s="208" t="n">
        <x:f>Y114+Z112</x:f>
        <x:v>4125075465.592889</x:v>
      </x:c>
    </x:row>
    <x:row r="115" s="112" customFormat="1" ht="15" hidden="1" customHeight="1"/>
    <x:row r="116" s="112" customFormat="1" ht="15" hidden="1" customHeight="1">
      <x:c r="A116" s="207" t="inlineStr">
        <x:is>
          <x:t xml:space="preserve">KB4 · Khách mới</x:t>
        </x:is>
      </x:c>
      <x:c r="C116" s="209" t="n">
        <x:f>$D$84*(1+$E$84)^0</x:f>
        <x:v>10</x:v>
      </x:c>
      <x:c r="D116" s="209" t="n">
        <x:f>$D$84*(1+$E$84)^1</x:f>
        <x:v>10.5</x:v>
      </x:c>
      <x:c r="E116" s="209" t="n">
        <x:f>$D$84*(1+$E$84)^2</x:f>
        <x:v>11.025</x:v>
      </x:c>
      <x:c r="F116" s="209" t="n">
        <x:f>$D$84*(1+$E$84)^3</x:f>
        <x:v>11.576250000000002</x:v>
      </x:c>
      <x:c r="G116" s="209" t="n">
        <x:f>$D$84*(1+$E$84)^4</x:f>
        <x:v>12.155062500000003</x:v>
      </x:c>
      <x:c r="H116" s="209" t="n">
        <x:f>$D$84*(1+$E$84)^5</x:f>
        <x:v>12.762815625000004</x:v>
      </x:c>
      <x:c r="I116" s="209" t="n">
        <x:f>$D$84*(1+$E$84)^6</x:f>
        <x:v>13.400956406250003</x:v>
      </x:c>
      <x:c r="J116" s="209" t="n">
        <x:f>$D$84*(1+$E$84)^7</x:f>
        <x:v>14.071004226562504</x:v>
      </x:c>
      <x:c r="K116" s="209" t="n">
        <x:f>$D$84*(1+$E$84)^8</x:f>
        <x:v>14.77455443789063</x:v>
      </x:c>
      <x:c r="L116" s="209" t="n">
        <x:f>$D$84*(1+$E$84)^9</x:f>
        <x:v>15.513282159785163</x:v>
      </x:c>
      <x:c r="M116" s="209" t="n">
        <x:f>$D$84*(1+$E$84)^10</x:f>
        <x:v>16.28894626777442</x:v>
      </x:c>
      <x:c r="N116" s="209" t="n">
        <x:f>$D$84*(1+$E$84)^11</x:f>
        <x:v>17.103393581163143</x:v>
      </x:c>
      <x:c r="O116" s="209" t="n">
        <x:f>$D$84*(1+$E$84)^12</x:f>
        <x:v>17.9585632602213</x:v>
      </x:c>
      <x:c r="P116" s="209" t="n">
        <x:f>$D$84*(1+$E$84)^13</x:f>
        <x:v>18.856491423232367</x:v>
      </x:c>
      <x:c r="Q116" s="209" t="n">
        <x:f>$D$84*(1+$E$84)^14</x:f>
        <x:v>19.799315994393986</x:v>
      </x:c>
      <x:c r="R116" s="209" t="n">
        <x:f>$D$84*(1+$E$84)^15</x:f>
        <x:v>20.789281794113688</x:v>
      </x:c>
      <x:c r="S116" s="209" t="n">
        <x:f>$D$84*(1+$E$84)^16</x:f>
        <x:v>21.82874588381937</x:v>
      </x:c>
      <x:c r="T116" s="209" t="n">
        <x:f>$D$84*(1+$E$84)^17</x:f>
        <x:v>22.92018317801034</x:v>
      </x:c>
      <x:c r="U116" s="209" t="n">
        <x:f>$D$84*(1+$E$84)^18</x:f>
        <x:v>24.066192336910856</x:v>
      </x:c>
      <x:c r="V116" s="209" t="n">
        <x:f>$D$84*(1+$E$84)^19</x:f>
        <x:v>25.269501953756404</x:v>
      </x:c>
      <x:c r="W116" s="209" t="n">
        <x:f>$D$84*(1+$E$84)^20</x:f>
        <x:v>26.53297705144422</x:v>
      </x:c>
      <x:c r="X116" s="209" t="n">
        <x:f>$D$84*(1+$E$84)^21</x:f>
        <x:v>27.859625904016436</x:v>
      </x:c>
      <x:c r="Y116" s="209" t="n">
        <x:f>$D$84*(1+$E$84)^22</x:f>
        <x:v>29.25260719921726</x:v>
      </x:c>
      <x:c r="Z116" s="209" t="n">
        <x:f>$D$84*(1+$E$84)^23</x:f>
        <x:v>30.715237559178124</x:v>
      </x:c>
    </x:row>
    <x:row r="117" s="112" customFormat="1" ht="15" hidden="1" customHeight="1">
      <x:c r="A117" s="207" t="inlineStr">
        <x:is>
          <x:t xml:space="preserve">KB4 · Khách đang dùng</x:t>
        </x:is>
      </x:c>
      <x:c r="B117" s="207" t="n">
        <x:v>0</x:v>
      </x:c>
      <x:c r="C117" s="209" t="n">
        <x:f>B117*(1-$F$84)+C116</x:f>
        <x:v>10</x:v>
      </x:c>
      <x:c r="D117" s="209" t="n">
        <x:f>C117*(1-$F$84)+D116</x:f>
        <x:v>20.049999999999997</x:v>
      </x:c>
      <x:c r="E117" s="209" t="n">
        <x:f>D117*(1-$F$84)+E116</x:f>
        <x:v>30.172749999999994</x:v>
      </x:c>
      <x:c r="F117" s="209" t="n">
        <x:f>E117*(1-$F$84)+F116</x:f>
        <x:v>40.391226249999995</x:v>
      </x:c>
      <x:c r="G117" s="209" t="n">
        <x:f>F117*(1-$F$84)+G116</x:f>
        <x:v>50.72868356875</x:v>
      </x:c>
      <x:c r="H117" s="209" t="n">
        <x:f>G117*(1-$F$84)+H116</x:f>
        <x:v>61.20870843315625</x:v>
      </x:c>
      <x:c r="I117" s="209" t="n">
        <x:f>H117*(1-$F$84)+I116</x:f>
        <x:v>71.85527295991422</x:v>
      </x:c>
      <x:c r="J117" s="209" t="n">
        <x:f>I117*(1-$F$84)+J116</x:f>
        <x:v>82.69278990328058</x:v>
      </x:c>
      <x:c r="K117" s="209" t="n">
        <x:f>J117*(1-$F$84)+K116</x:f>
        <x:v>93.74616879552359</x:v>
      </x:c>
      <x:c r="L117" s="209" t="n">
        <x:f>K117*(1-$F$84)+L116</x:f>
        <x:v>105.04087335951019</x:v>
      </x:c>
      <x:c r="M117" s="209" t="n">
        <x:f>L117*(1-$F$84)+M116</x:f>
        <x:v>116.60298032610665</x:v>
      </x:c>
      <x:c r="N117" s="209" t="n">
        <x:f>M117*(1-$F$84)+N116</x:f>
        <x:v>128.45923979259499</x:v>
      </x:c>
      <x:c r="O117" s="209" t="n">
        <x:f>N117*(1-$F$84)+O116</x:f>
        <x:v>140.6371372621495</x:v>
      </x:c>
      <x:c r="P117" s="209" t="n">
        <x:f>O117*(1-$F$84)+P116</x:f>
        <x:v>153.16495750858513</x:v>
      </x:c>
      <x:c r="Q117" s="209" t="n">
        <x:f>P117*(1-$F$84)+Q116</x:f>
        <x:v>166.0718504150928</x:v>
      </x:c>
      <x:c r="R117" s="209" t="n">
        <x:f>Q117*(1-$F$84)+R116</x:f>
        <x:v>179.3878989405273</x:v>
      </x:c>
      <x:c r="S117" s="209" t="n">
        <x:f>R117*(1-$F$84)+S116</x:f>
        <x:v>193.14418937202294</x:v>
      </x:c>
      <x:c r="T117" s="209" t="n">
        <x:f>S117*(1-$F$84)+T116</x:f>
        <x:v>207.37288402829225</x:v>
      </x:c>
      <x:c r="U117" s="209" t="n">
        <x:f>T117*(1-$F$84)+U116</x:f>
        <x:v>222.10729658392995</x:v>
      </x:c>
      <x:c r="V117" s="209" t="n">
        <x:f>U117*(1-$F$84)+V116</x:f>
        <x:v>237.3819701914095</x:v>
      </x:c>
      <x:c r="W117" s="209" t="n">
        <x:f>V117*(1-$F$84)+W116</x:f>
        <x:v>253.2327585842403</x:v>
      </x:c>
      <x:c r="X117" s="209" t="n">
        <x:f>W117*(1-$F$84)+X116</x:f>
        <x:v>269.69691035196587</x:v>
      </x:c>
      <x:c r="Y117" s="209" t="n">
        <x:f>X117*(1-$F$84)+Y116</x:f>
        <x:v>286.81315658534464</x:v>
      </x:c>
      <x:c r="Z117" s="209" t="n">
        <x:f>Y117*(1-$F$84)+Z116</x:f>
        <x:v>304.6218020981823</x:v>
      </x:c>
    </x:row>
    <x:row r="118" s="112" customFormat="1" ht="15" hidden="1" customHeight="1">
      <x:c r="A118" s="207" t="inlineStr">
        <x:is>
          <x:t xml:space="preserve">KB4 · Dòng tiền ròng</x:t>
        </x:is>
      </x:c>
      <x:c r="B118" s="208" t="n">
        <x:f>-$I$84</x:f>
        <x:v>-600000000</x:v>
      </x:c>
      <x:c r="C118" s="208" t="n">
        <x:f>C117*($B$84-$C$84)-C116*$G$84-$H$84</x:f>
        <x:v>-208093980</x:v>
      </x:c>
      <x:c r="D118" s="208" t="n">
        <x:f>D117*($B$84-$C$84)-D116*$G$84-$H$84</x:f>
        <x:v>-176208429.9</x:v>
      </x:c>
      <x:c r="E118" s="208" t="n">
        <x:f>E117*($B$84-$C$84)-E116*$G$84-$H$84</x:f>
        <x:v>-144271663.50450003</x:v>
      </x:c>
      <x:c r="F118" s="208" t="n">
        <x:f>F117*($B$84-$C$84)-F116*$G$84-$H$84</x:f>
        <x:v>-112211682.24429752</x:v>
      </x:c>
      <x:c r="G118" s="208" t="n">
        <x:f>G117*($B$84-$C$84)-G116*$G$84-$H$84</x:f>
        <x:v>-79956012.32067913</x:v>
      </x:c>
      <x:c r="H118" s="208" t="n">
        <x:f>H117*($B$84-$C$84)-H116*$G$84-$H$84</x:f>
        <x:v>-47431540.33249235</x:v>
      </x:c>
      <x:c r="I118" s="208" t="n">
        <x:f>I117*($B$84-$C$84)-I116*$G$84-$H$84</x:f>
        <x:v>-14564347.012086123</x:v>
      </x:c>
      <x:c r="J118" s="208" t="n">
        <x:f>J117*($B$84-$C$84)-J116*$G$84-$H$84</x:f>
        <x:v>18720461.30917403</x:v>
      </x:c>
      <x:c r="K118" s="208" t="n">
        <x:f>K117*($B$84-$C$84)-K116*$G$84-$H$84</x:f>
        <x:v>52498923.89126328</x:v>
      </x:c>
      <x:c r="L118" s="208" t="n">
        <x:f>L117*($B$84-$C$84)-L116*$G$84-$H$84</x:f>
        <x:v>86848399.82420865</x:v>
      </x:c>
      <x:c r="M118" s="208" t="n">
        <x:f>M117*($B$84-$C$84)-M116*$G$84-$H$84</x:f>
        <x:v>121847745.71557403</x:v>
      </x:c>
      <x:c r="N118" s="208" t="n">
        <x:f>N117*($B$84-$C$84)-N116*$G$84-$H$84</x:f>
        <x:v>157577497.23600078</x:v>
      </x:c>
      <x:c r="O118" s="208" t="n">
        <x:f>O117*($B$84-$C$84)-O116*$G$84-$H$84</x:f>
        <x:v>194120054.94188964</x:v>
      </x:c>
      <x:c r="P118" s="208" t="n">
        <x:f>P117*($B$84-$C$84)-P116*$G$84-$H$84</x:f>
        <x:v>231559874.80508888</x:v>
      </x:c>
      <x:c r="Q118" s="208" t="n">
        <x:f>Q117*($B$84-$C$84)-Q116*$G$84-$H$84</x:f>
        <x:v>269983663.89122355</x:v>
      </x:c>
      <x:c r="R118" s="208" t="n">
        <x:f>R117*($B$84-$C$84)-R116*$G$84-$H$84</x:f>
        <x:v>309480581.64110017</x:v>
      </x:c>
      <x:c r="S118" s="208" t="n">
        <x:f>S117*($B$84-$C$84)-S116*$G$84-$H$84</x:f>
        <x:v>350142447.2234816</x:v>
      </x:c>
      <x:c r="T118" s="208" t="n">
        <x:f>T117*($B$84-$C$84)-T116*$G$84-$H$84</x:f>
        <x:v>392063953.44246733</x:v>
      </x:c>
      <x:c r="U118" s="208" t="n">
        <x:f>U117*($B$84-$C$84)-U116*$G$84-$H$84</x:f>
        <x:v>435342887.6988008</x:v>
      </x:c>
      <x:c r="V118" s="208" t="n">
        <x:f>V117*($B$84-$C$84)-V116*$G$84-$H$84</x:f>
        <x:v>480080360.5216615</x:v>
      </x:c>
      <x:c r="W118" s="208" t="n">
        <x:f>W117*($B$84-$C$84)-W116*$G$84-$H$84</x:f>
        <x:v>526381042.20595884</x:v>
      </x:c>
      <x:c r="X118" s="208" t="n">
        <x:f>X117*($B$84-$C$84)-X116*$G$84-$H$84</x:f>
        <x:v>574353408.1098512</x:v>
      </x:c>
      <x:c r="Y118" s="208" t="n">
        <x:f>Y117*($B$84-$C$84)-Y116*$G$84-$H$84</x:f>
        <x:v>624109993.1882267</x:v>
      </x:c>
      <x:c r="Z118" s="208" t="n">
        <x:f>Z117*($B$84-$C$84)-Z116*$G$84-$H$84</x:f>
        <x:v>675767656.3602412</x:v>
      </x:c>
    </x:row>
    <x:row r="119" s="112" customFormat="1" ht="15" hidden="1" customHeight="1">
      <x:c r="A119" s="207" t="inlineStr">
        <x:is>
          <x:t xml:space="preserve">KB4 · Tiền mặt cuối kỳ</x:t>
        </x:is>
      </x:c>
      <x:c r="B119" s="208" t="n">
        <x:f>$J$84+B118</x:f>
        <x:v>2400000000</x:v>
      </x:c>
      <x:c r="C119" s="208" t="n">
        <x:f>B119+C118</x:f>
        <x:v>2191906020</x:v>
      </x:c>
      <x:c r="D119" s="208" t="n">
        <x:f>C119+D118</x:f>
        <x:v>2015697590.1</x:v>
      </x:c>
      <x:c r="E119" s="208" t="n">
        <x:f>D119+E118</x:f>
        <x:v>1871425926.5955</x:v>
      </x:c>
      <x:c r="F119" s="208" t="n">
        <x:f>E119+F118</x:f>
        <x:v>1759214244.3512025</x:v>
      </x:c>
      <x:c r="G119" s="208" t="n">
        <x:f>F119+G118</x:f>
        <x:v>1679258232.0305233</x:v>
      </x:c>
      <x:c r="H119" s="208" t="n">
        <x:f>G119+H118</x:f>
        <x:v>1631826691.698031</x:v>
      </x:c>
      <x:c r="I119" s="208" t="n">
        <x:f>H119+I118</x:f>
        <x:v>1617262344.6859448</x:v>
      </x:c>
      <x:c r="J119" s="208" t="n">
        <x:f>I119+J118</x:f>
        <x:v>1635982805.9951189</x:v>
      </x:c>
      <x:c r="K119" s="208" t="n">
        <x:f>J119+K118</x:f>
        <x:v>1688481729.886382</x:v>
      </x:c>
      <x:c r="L119" s="208" t="n">
        <x:f>K119+L118</x:f>
        <x:v>1775330129.7105908</x:v>
      </x:c>
      <x:c r="M119" s="208" t="n">
        <x:f>L119+M118</x:f>
        <x:v>1897177875.4261649</x:v>
      </x:c>
      <x:c r="N119" s="208" t="n">
        <x:f>M119+N118</x:f>
        <x:v>2054755372.6621656</x:v>
      </x:c>
      <x:c r="O119" s="208" t="n">
        <x:f>N119+O118</x:f>
        <x:v>2248875427.6040554</x:v>
      </x:c>
      <x:c r="P119" s="208" t="n">
        <x:f>O119+P118</x:f>
        <x:v>2480435302.4091444</x:v>
      </x:c>
      <x:c r="Q119" s="208" t="n">
        <x:f>P119+Q118</x:f>
        <x:v>2750418966.300368</x:v>
      </x:c>
      <x:c r="R119" s="208" t="n">
        <x:f>Q119+R118</x:f>
        <x:v>3059899547.9414682</x:v>
      </x:c>
      <x:c r="S119" s="208" t="n">
        <x:f>R119+S118</x:f>
        <x:v>3410041995.16495</x:v>
      </x:c>
      <x:c r="T119" s="208" t="n">
        <x:f>S119+T118</x:f>
        <x:v>3802105948.607417</x:v>
      </x:c>
      <x:c r="U119" s="208" t="n">
        <x:f>T119+U118</x:f>
        <x:v>4237448836.306218</x:v>
      </x:c>
      <x:c r="V119" s="208" t="n">
        <x:f>U119+V118</x:f>
        <x:v>4717529196.82788</x:v>
      </x:c>
      <x:c r="W119" s="208" t="n">
        <x:f>V119+W118</x:f>
        <x:v>5243910239.033838</x:v>
      </x:c>
      <x:c r="X119" s="208" t="n">
        <x:f>W119+X118</x:f>
        <x:v>5818263647.143689</x:v>
      </x:c>
      <x:c r="Y119" s="208" t="n">
        <x:f>X119+Y118</x:f>
        <x:v>6442373640.331916</x:v>
      </x:c>
      <x:c r="Z119" s="208" t="n">
        <x:f>Y119+Z118</x:f>
        <x:v>7118141296.692157</x:v>
      </x:c>
    </x:row>
    <x:row r="120" s="112" customFormat="1" ht="15" hidden="1" customHeight="1">
      <x:c r="A120" s="207" t="inlineStr">
        <x:is>
          <x:t xml:space="preserve">KB4 · Dòng tiền lũy kế</x:t>
        </x:is>
      </x:c>
      <x:c r="B120" s="208" t="n">
        <x:f>B118</x:f>
        <x:v>-600000000</x:v>
      </x:c>
      <x:c r="C120" s="208" t="n">
        <x:f>B120+C118</x:f>
        <x:v>-808093980</x:v>
      </x:c>
      <x:c r="D120" s="208" t="n">
        <x:f>C120+D118</x:f>
        <x:v>-984302409.9</x:v>
      </x:c>
      <x:c r="E120" s="208" t="n">
        <x:f>D120+E118</x:f>
        <x:v>-1128574073.4045</x:v>
      </x:c>
      <x:c r="F120" s="208" t="n">
        <x:f>E120+F118</x:f>
        <x:v>-1240785755.6487975</x:v>
      </x:c>
      <x:c r="G120" s="208" t="n">
        <x:f>F120+G118</x:f>
        <x:v>-1320741767.9694767</x:v>
      </x:c>
      <x:c r="H120" s="208" t="n">
        <x:f>G120+H118</x:f>
        <x:v>-1368173308.301969</x:v>
      </x:c>
      <x:c r="I120" s="208" t="n">
        <x:f>H120+I118</x:f>
        <x:v>-1382737655.3140552</x:v>
      </x:c>
      <x:c r="J120" s="208" t="n">
        <x:f>I120+J118</x:f>
        <x:v>-1364017194.0048811</x:v>
      </x:c>
      <x:c r="K120" s="208" t="n">
        <x:f>J120+K118</x:f>
        <x:v>-1311518270.113618</x:v>
      </x:c>
      <x:c r="L120" s="208" t="n">
        <x:f>K120+L118</x:f>
        <x:v>-1224669870.2894092</x:v>
      </x:c>
      <x:c r="M120" s="208" t="n">
        <x:f>L120+M118</x:f>
        <x:v>-1102822124.5738351</x:v>
      </x:c>
      <x:c r="N120" s="208" t="n">
        <x:f>M120+N118</x:f>
        <x:v>-945244627.3378344</x:v>
      </x:c>
      <x:c r="O120" s="208" t="n">
        <x:f>N120+O118</x:f>
        <x:v>-751124572.3959447</x:v>
      </x:c>
      <x:c r="P120" s="208" t="n">
        <x:f>O120+P118</x:f>
        <x:v>-519564697.59085584</x:v>
      </x:c>
      <x:c r="Q120" s="208" t="n">
        <x:f>P120+Q118</x:f>
        <x:v>-249581033.6996323</x:v>
      </x:c>
      <x:c r="R120" s="208" t="n">
        <x:f>Q120+R118</x:f>
        <x:v>59899547.94146788</x:v>
      </x:c>
      <x:c r="S120" s="208" t="n">
        <x:f>R120+S118</x:f>
        <x:v>410041995.1649495</x:v>
      </x:c>
      <x:c r="T120" s="208" t="n">
        <x:f>S120+T118</x:f>
        <x:v>802105948.6074169</x:v>
      </x:c>
      <x:c r="U120" s="208" t="n">
        <x:f>T120+U118</x:f>
        <x:v>1237448836.3062177</x:v>
      </x:c>
      <x:c r="V120" s="208" t="n">
        <x:f>U120+V118</x:f>
        <x:v>1717529196.8278792</x:v>
      </x:c>
      <x:c r="W120" s="208" t="n">
        <x:f>V120+W118</x:f>
        <x:v>2243910239.0338383</x:v>
      </x:c>
      <x:c r="X120" s="208" t="n">
        <x:f>W120+X118</x:f>
        <x:v>2818263647.1436896</x:v>
      </x:c>
      <x:c r="Y120" s="208" t="n">
        <x:f>X120+Y118</x:f>
        <x:v>3442373640.3319163</x:v>
      </x:c>
      <x:c r="Z120" s="208" t="n">
        <x:f>Y120+Z118</x:f>
        <x:v>4118141296.6921577</x:v>
      </x:c>
    </x:row>
    <x:row r="121" s="112" customFormat="1" ht="15" hidden="1" customHeight="1"/>
    <x:row r="122" s="112" customFormat="1" ht="15" hidden="1" customHeight="1">
      <x:c r="A122" s="207" t="inlineStr">
        <x:is>
          <x:t xml:space="preserve">KB5 · Khách mới</x:t>
        </x:is>
      </x:c>
      <x:c r="C122" s="209" t="n">
        <x:f>$D$85*(1+$E$85)^0</x:f>
        <x:v>8</x:v>
      </x:c>
      <x:c r="D122" s="209" t="n">
        <x:f>$D$85*(1+$E$85)^1</x:f>
        <x:v>8.4</x:v>
      </x:c>
      <x:c r="E122" s="209" t="n">
        <x:f>$D$85*(1+$E$85)^2</x:f>
        <x:v>8.82</x:v>
      </x:c>
      <x:c r="F122" s="209" t="n">
        <x:f>$D$85*(1+$E$85)^3</x:f>
        <x:v>9.261000000000001</x:v>
      </x:c>
      <x:c r="G122" s="209" t="n">
        <x:f>$D$85*(1+$E$85)^4</x:f>
        <x:v>9.724050000000002</x:v>
      </x:c>
      <x:c r="H122" s="209" t="n">
        <x:f>$D$85*(1+$E$85)^5</x:f>
        <x:v>10.210252500000003</x:v>
      </x:c>
      <x:c r="I122" s="209" t="n">
        <x:f>$D$85*(1+$E$85)^6</x:f>
        <x:v>10.720765125000003</x:v>
      </x:c>
      <x:c r="J122" s="209" t="n">
        <x:f>$D$85*(1+$E$85)^7</x:f>
        <x:v>11.256803381250004</x:v>
      </x:c>
      <x:c r="K122" s="209" t="n">
        <x:f>$D$85*(1+$E$85)^8</x:f>
        <x:v>11.819643550312504</x:v>
      </x:c>
      <x:c r="L122" s="209" t="n">
        <x:f>$D$85*(1+$E$85)^9</x:f>
        <x:v>12.41062572782813</x:v>
      </x:c>
      <x:c r="M122" s="209" t="n">
        <x:f>$D$85*(1+$E$85)^10</x:f>
        <x:v>13.031157014219536</x:v>
      </x:c>
      <x:c r="N122" s="209" t="n">
        <x:f>$D$85*(1+$E$85)^11</x:f>
        <x:v>13.682714864930514</x:v>
      </x:c>
      <x:c r="O122" s="209" t="n">
        <x:f>$D$85*(1+$E$85)^12</x:f>
        <x:v>14.36685060817704</x:v>
      </x:c>
      <x:c r="P122" s="209" t="n">
        <x:f>$D$85*(1+$E$85)^13</x:f>
        <x:v>15.085193138585893</x:v>
      </x:c>
      <x:c r="Q122" s="209" t="n">
        <x:f>$D$85*(1+$E$85)^14</x:f>
        <x:v>15.83945279551519</x:v>
      </x:c>
      <x:c r="R122" s="209" t="n">
        <x:f>$D$85*(1+$E$85)^15</x:f>
        <x:v>16.63142543529095</x:v>
      </x:c>
      <x:c r="S122" s="209" t="n">
        <x:f>$D$85*(1+$E$85)^16</x:f>
        <x:v>17.462996707055495</x:v>
      </x:c>
      <x:c r="T122" s="209" t="n">
        <x:f>$D$85*(1+$E$85)^17</x:f>
        <x:v>18.336146542408272</x:v>
      </x:c>
      <x:c r="U122" s="209" t="n">
        <x:f>$D$85*(1+$E$85)^18</x:f>
        <x:v>19.252953869528685</x:v>
      </x:c>
      <x:c r="V122" s="209" t="n">
        <x:f>$D$85*(1+$E$85)^19</x:f>
        <x:v>20.215601563005123</x:v>
      </x:c>
      <x:c r="W122" s="209" t="n">
        <x:f>$D$85*(1+$E$85)^20</x:f>
        <x:v>21.226381641155378</x:v>
      </x:c>
      <x:c r="X122" s="209" t="n">
        <x:f>$D$85*(1+$E$85)^21</x:f>
        <x:v>22.28770072321315</x:v>
      </x:c>
      <x:c r="Y122" s="209" t="n">
        <x:f>$D$85*(1+$E$85)^22</x:f>
        <x:v>23.402085759373808</x:v>
      </x:c>
      <x:c r="Z122" s="209" t="n">
        <x:f>$D$85*(1+$E$85)^23</x:f>
        <x:v>24.5721900473425</x:v>
      </x:c>
    </x:row>
    <x:row r="123" s="112" customFormat="1" ht="15" hidden="1" customHeight="1">
      <x:c r="A123" s="207" t="inlineStr">
        <x:is>
          <x:t xml:space="preserve">KB5 · Khách đang dùng</x:t>
        </x:is>
      </x:c>
      <x:c r="B123" s="207" t="n">
        <x:v>0</x:v>
      </x:c>
      <x:c r="C123" s="209" t="n">
        <x:f>B123*(1-$F$85)+C122</x:f>
        <x:v>8</x:v>
      </x:c>
      <x:c r="D123" s="209" t="n">
        <x:f>C123*(1-$F$85)+D122</x:f>
        <x:v>16.04</x:v>
      </x:c>
      <x:c r="E123" s="209" t="n">
        <x:f>D123*(1-$F$85)+E122</x:f>
        <x:v>24.138199999999998</x:v>
      </x:c>
      <x:c r="F123" s="209" t="n">
        <x:f>E123*(1-$F$85)+F122</x:f>
        <x:v>32.312981</x:v>
      </x:c>
      <x:c r="G123" s="209" t="n">
        <x:f>F123*(1-$F$85)+G122</x:f>
        <x:v>40.582946855</x:v>
      </x:c>
      <x:c r="H123" s="209" t="n">
        <x:f>G123*(1-$F$85)+H122</x:f>
        <x:v>48.966966746525</x:v>
      </x:c>
      <x:c r="I123" s="209" t="n">
        <x:f>H123*(1-$F$85)+I122</x:f>
        <x:v>57.484218367931376</x:v>
      </x:c>
      <x:c r="J123" s="209" t="n">
        <x:f>I123*(1-$F$85)+J122</x:f>
        <x:v>66.15423192262446</x:v>
      </x:c>
      <x:c r="K123" s="209" t="n">
        <x:f>J123*(1-$F$85)+K122</x:f>
        <x:v>74.99693503641886</x:v>
      </x:c>
      <x:c r="L123" s="209" t="n">
        <x:f>K123*(1-$F$85)+L122</x:f>
        <x:v>84.03269868760815</x:v>
      </x:c>
      <x:c r="M123" s="209" t="n">
        <x:f>L123*(1-$F$85)+M122</x:f>
        <x:v>93.28238426088531</x:v>
      </x:c>
      <x:c r="N123" s="209" t="n">
        <x:f>M123*(1-$F$85)+N122</x:f>
        <x:v>102.76739183407598</x:v>
      </x:c>
      <x:c r="O123" s="209" t="n">
        <x:f>N123*(1-$F$85)+O122</x:f>
        <x:v>112.50970980971961</x:v>
      </x:c>
      <x:c r="P123" s="209" t="n">
        <x:f>O123*(1-$F$85)+P122</x:f>
        <x:v>122.53196600686812</x:v>
      </x:c>
      <x:c r="Q123" s="209" t="n">
        <x:f>P123*(1-$F$85)+Q122</x:f>
        <x:v>132.85748033207423</x:v>
      </x:c>
      <x:c r="R123" s="209" t="n">
        <x:f>Q123*(1-$F$85)+R122</x:f>
        <x:v>143.51031915242186</x:v>
      </x:c>
      <x:c r="S123" s="209" t="n">
        <x:f>R123*(1-$F$85)+S122</x:f>
        <x:v>154.51535149761838</x:v>
      </x:c>
      <x:c r="T123" s="209" t="n">
        <x:f>S123*(1-$F$85)+T122</x:f>
        <x:v>165.89830722263383</x:v>
      </x:c>
      <x:c r="U123" s="209" t="n">
        <x:f>T123*(1-$F$85)+U122</x:f>
        <x:v>177.685837267144</x:v>
      </x:c>
      <x:c r="V123" s="209" t="n">
        <x:f>U123*(1-$F$85)+V122</x:f>
        <x:v>189.90557615312764</x:v>
      </x:c>
      <x:c r="W123" s="209" t="n">
        <x:f>V123*(1-$F$85)+W122</x:f>
        <x:v>202.58620686739226</x:v>
      </x:c>
      <x:c r="X123" s="209" t="n">
        <x:f>W123*(1-$F$85)+X122</x:f>
        <x:v>215.75752828157277</x:v>
      </x:c>
      <x:c r="Y123" s="209" t="n">
        <x:f>X123*(1-$F$85)+Y122</x:f>
        <x:v>229.4505252682758</x:v>
      </x:c>
      <x:c r="Z123" s="209" t="n">
        <x:f>Y123*(1-$F$85)+Z122</x:f>
        <x:v>243.69744167854589</x:v>
      </x:c>
    </x:row>
    <x:row r="124" s="112" customFormat="1" ht="15" hidden="1" customHeight="1">
      <x:c r="A124" s="207" t="inlineStr">
        <x:is>
          <x:t xml:space="preserve">KB5 · Dòng tiền ròng</x:t>
        </x:is>
      </x:c>
      <x:c r="B124" s="208" t="n">
        <x:f>-$I$85</x:f>
        <x:v>-600000000</x:v>
      </x:c>
      <x:c r="C124" s="208" t="n">
        <x:f>C123*($B$85-$C$85)-C122*$G$85-$H$85</x:f>
        <x:v>-187275184</x:v>
      </x:c>
      <x:c r="D124" s="208" t="n">
        <x:f>D123*($B$85-$C$85)-D122*$G$85-$H$85</x:f>
        <x:v>-161206743.92000002</x:v>
      </x:c>
      <x:c r="E124" s="208" t="n">
        <x:f>E123*($B$85-$C$85)-E122*$G$85-$H$85</x:f>
        <x:v>-135069330.8036</x:v>
      </x:c>
      <x:c r="F124" s="208" t="n">
        <x:f>F123*($B$85-$C$85)-F122*$G$85-$H$85</x:f>
        <x:v>-108803945.79543799</x:v>
      </x:c>
      <x:c r="G124" s="208" t="n">
        <x:f>G123*($B$85-$C$85)-G122*$G$85-$H$85</x:f>
        <x:v>-82351139.85654329</x:v>
      </x:c>
      <x:c r="H124" s="208" t="n">
        <x:f>H123*($B$85-$C$85)-H122*$G$85-$H$85</x:f>
        <x:v>-55650878.76599385</x:v>
      </x:c>
      <x:c r="I124" s="208" t="n">
        <x:f>I123*($B$85-$C$85)-I122*$G$85-$H$85</x:f>
        <x:v>-28642406.4346689</x:v>
      </x:c>
      <x:c r="J124" s="208" t="n">
        <x:f>J123*($B$85-$C$85)-J122*$G$85-$H$85</x:f>
        <x:v>-1264106.2189108133</x:v>
      </x:c>
      <x:c r="K124" s="208" t="n">
        <x:f>K123*($B$85-$C$85)-K122*$G$85-$H$85</x:f>
        <x:v>26546640.083448112</x:v>
      </x:c>
      <x:c r="L124" s="208" t="n">
        <x:f>L123*($B$85-$C$85)-L122*$G$85-$H$85</x:f>
        <x:v>54853595.8783263</x:v>
      </x:c>
      <x:c r="M124" s="208" t="n">
        <x:f>M123*($B$85-$C$85)-M122*$G$85-$H$85</x:f>
        <x:v>83721816.39236656</x:v>
      </x:c>
      <x:c r="N124" s="208" t="n">
        <x:f>N123*($B$85-$C$85)-N122*$G$85-$H$85</x:f>
        <x:v>113217798.59970331</x:v>
      </x:c>
      <x:c r="O124" s="208" t="n">
        <x:f>O123*($B$85-$C$85)-O122*$G$85-$H$85</x:f>
        <x:v>143409634.8049596</x:v>
      </x:c>
      <x:c r="P124" s="208" t="n">
        <x:f>P123*($B$85-$C$85)-P122*$G$85-$H$85</x:f>
        <x:v>174367170.2380914</x:v>
      </x:c>
      <x:c r="Q124" s="208" t="n">
        <x:f>Q123*($B$85-$C$85)-Q122*$G$85-$H$85</x:f>
        <x:v>206162165.02670008</x:v>
      </x:c>
      <x:c r="R124" s="208" t="n">
        <x:f>R123*($B$85-$C$85)-R122*$G$85-$H$85</x:f>
        <x:v>238868460.92228758</x:v>
      </x:c>
      <x:c r="S124" s="208" t="n">
        <x:f>S123*($B$85-$C$85)-S122*$G$85-$H$85</x:f>
        <x:v>272562153.168663</x:v>
      </x:c>
      <x:c r="T124" s="208" t="n">
        <x:f>T123*($B$85-$C$85)-T122*$G$85-$H$85</x:f>
        <x:v>307321767.91334563</x:v>
      </x:c>
      <x:c r="U124" s="208" t="n">
        <x:f>U123*($B$85-$C$85)-U122*$G$85-$H$85</x:f>
        <x:v>343228445.57638097</x:v>
      </x:c>
      <x:c r="V124" s="208" t="n">
        <x:f>V123*($B$85-$C$85)-V122*$G$85-$H$85</x:f>
        <x:v>380366130.6055366</x:v>
      </x:c>
      <x:c r="W124" s="208" t="n">
        <x:f>W123*($B$85-$C$85)-W122*$G$85-$H$85</x:f>
        <x:v>418821768.0623847</x:v>
      </x:c>
      <x:c r="X124" s="208" t="n">
        <x:f>X123*($B$85-$C$85)-X122*$G$85-$H$85</x:f>
        <x:v>458685507.5003798</x:v>
      </x:c>
      <x:c r="Y124" s="208" t="n">
        <x:f>Y123*($B$85-$C$85)-Y122*$G$85-$H$85</x:f>
        <x:v>500050914.6137049</x:v>
      </x:c>
      <x:c r="Z124" s="208" t="n">
        <x:f>Z123*($B$85-$C$85)-Z122*$G$85-$H$85</x:f>
        <x:v>543015191.1544727</x:v>
      </x:c>
    </x:row>
    <x:row r="125" s="112" customFormat="1" ht="15" hidden="1" customHeight="1">
      <x:c r="A125" s="207" t="inlineStr">
        <x:is>
          <x:t xml:space="preserve">KB5 · Tiền mặt cuối kỳ</x:t>
        </x:is>
      </x:c>
      <x:c r="B125" s="208" t="n">
        <x:f>$J$85+B124</x:f>
        <x:v>2400000000</x:v>
      </x:c>
      <x:c r="C125" s="208" t="n">
        <x:f>B125+C124</x:f>
        <x:v>2212724816</x:v>
      </x:c>
      <x:c r="D125" s="208" t="n">
        <x:f>C125+D124</x:f>
        <x:v>2051518072.08</x:v>
      </x:c>
      <x:c r="E125" s="208" t="n">
        <x:f>D125+E124</x:f>
        <x:v>1916448741.2763999</x:v>
      </x:c>
      <x:c r="F125" s="208" t="n">
        <x:f>E125+F124</x:f>
        <x:v>1807644795.4809618</x:v>
      </x:c>
      <x:c r="G125" s="208" t="n">
        <x:f>F125+G124</x:f>
        <x:v>1725293655.6244185</x:v>
      </x:c>
      <x:c r="H125" s="208" t="n">
        <x:f>G125+H124</x:f>
        <x:v>1669642776.8584247</x:v>
      </x:c>
      <x:c r="I125" s="208" t="n">
        <x:f>H125+I124</x:f>
        <x:v>1641000370.4237556</x:v>
      </x:c>
      <x:c r="J125" s="208" t="n">
        <x:f>I125+J124</x:f>
        <x:v>1639736264.204845</x:v>
      </x:c>
      <x:c r="K125" s="208" t="n">
        <x:f>J125+K124</x:f>
        <x:v>1666282904.2882931</x:v>
      </x:c>
      <x:c r="L125" s="208" t="n">
        <x:f>K125+L124</x:f>
        <x:v>1721136500.1666193</x:v>
      </x:c>
      <x:c r="M125" s="208" t="n">
        <x:f>L125+M124</x:f>
        <x:v>1804858316.558986</x:v>
      </x:c>
      <x:c r="N125" s="208" t="n">
        <x:f>M125+N124</x:f>
        <x:v>1918076115.1586893</x:v>
      </x:c>
      <x:c r="O125" s="208" t="n">
        <x:f>N125+O124</x:f>
        <x:v>2061485749.9636488</x:v>
      </x:c>
      <x:c r="P125" s="208" t="n">
        <x:f>O125+P124</x:f>
        <x:v>2235852920.2017403</x:v>
      </x:c>
      <x:c r="Q125" s="208" t="n">
        <x:f>P125+Q124</x:f>
        <x:v>2442015085.2284403</x:v>
      </x:c>
      <x:c r="R125" s="208" t="n">
        <x:f>Q125+R124</x:f>
        <x:v>2680883546.1507277</x:v>
      </x:c>
      <x:c r="S125" s="208" t="n">
        <x:f>R125+S124</x:f>
        <x:v>2953445699.319391</x:v>
      </x:c>
      <x:c r="T125" s="208" t="n">
        <x:f>S125+T124</x:f>
        <x:v>3260767467.2327366</x:v>
      </x:c>
      <x:c r="U125" s="208" t="n">
        <x:f>T125+U124</x:f>
        <x:v>3603995912.8091173</x:v>
      </x:c>
      <x:c r="V125" s="208" t="n">
        <x:f>U125+V124</x:f>
        <x:v>3984362043.414654</x:v>
      </x:c>
      <x:c r="W125" s="208" t="n">
        <x:f>V125+W124</x:f>
        <x:v>4403183811.477038</x:v>
      </x:c>
      <x:c r="X125" s="208" t="n">
        <x:f>W125+X124</x:f>
        <x:v>4861869318.977418</x:v>
      </x:c>
      <x:c r="Y125" s="208" t="n">
        <x:f>X125+Y124</x:f>
        <x:v>5361920233.591123</x:v>
      </x:c>
      <x:c r="Z125" s="208" t="n">
        <x:f>Y125+Z124</x:f>
        <x:v>5904935424.745595</x:v>
      </x:c>
    </x:row>
    <x:row r="126" s="112" customFormat="1" ht="15" hidden="1" customHeight="1">
      <x:c r="A126" s="207" t="inlineStr">
        <x:is>
          <x:t xml:space="preserve">KB5 · Dòng tiền lũy kế</x:t>
        </x:is>
      </x:c>
      <x:c r="B126" s="208" t="n">
        <x:f>B124</x:f>
        <x:v>-600000000</x:v>
      </x:c>
      <x:c r="C126" s="208" t="n">
        <x:f>B126+C124</x:f>
        <x:v>-787275184</x:v>
      </x:c>
      <x:c r="D126" s="208" t="n">
        <x:f>C126+D124</x:f>
        <x:v>-948481927.9200001</x:v>
      </x:c>
      <x:c r="E126" s="208" t="n">
        <x:f>D126+E124</x:f>
        <x:v>-1083551258.7236001</x:v>
      </x:c>
      <x:c r="F126" s="208" t="n">
        <x:f>E126+F124</x:f>
        <x:v>-1192355204.5190382</x:v>
      </x:c>
      <x:c r="G126" s="208" t="n">
        <x:f>F126+G124</x:f>
        <x:v>-1274706344.3755815</x:v>
      </x:c>
      <x:c r="H126" s="208" t="n">
        <x:f>G126+H124</x:f>
        <x:v>-1330357223.1415753</x:v>
      </x:c>
      <x:c r="I126" s="208" t="n">
        <x:f>H126+I124</x:f>
        <x:v>-1358999629.5762444</x:v>
      </x:c>
      <x:c r="J126" s="208" t="n">
        <x:f>I126+J124</x:f>
        <x:v>-1360263735.795155</x:v>
      </x:c>
      <x:c r="K126" s="208" t="n">
        <x:f>J126+K124</x:f>
        <x:v>-1333717095.7117069</x:v>
      </x:c>
      <x:c r="L126" s="208" t="n">
        <x:f>K126+L124</x:f>
        <x:v>-1278863499.8333807</x:v>
      </x:c>
      <x:c r="M126" s="208" t="n">
        <x:f>L126+M124</x:f>
        <x:v>-1195141683.441014</x:v>
      </x:c>
      <x:c r="N126" s="208" t="n">
        <x:f>M126+N124</x:f>
        <x:v>-1081923884.8413107</x:v>
      </x:c>
      <x:c r="O126" s="208" t="n">
        <x:f>N126+O124</x:f>
        <x:v>-938514250.0363512</x:v>
      </x:c>
      <x:c r="P126" s="208" t="n">
        <x:f>O126+P124</x:f>
        <x:v>-764147079.7982597</x:v>
      </x:c>
      <x:c r="Q126" s="208" t="n">
        <x:f>P126+Q124</x:f>
        <x:v>-557984914.7715597</x:v>
      </x:c>
      <x:c r="R126" s="208" t="n">
        <x:f>Q126+R124</x:f>
        <x:v>-319116453.84927213</x:v>
      </x:c>
      <x:c r="S126" s="208" t="n">
        <x:f>R126+S124</x:f>
        <x:v>-46554300.68060911</x:v>
      </x:c>
      <x:c r="T126" s="208" t="n">
        <x:f>S126+T124</x:f>
        <x:v>260767467.23273653</x:v>
      </x:c>
      <x:c r="U126" s="208" t="n">
        <x:f>T126+U124</x:f>
        <x:v>603995912.8091176</x:v>
      </x:c>
      <x:c r="V126" s="208" t="n">
        <x:f>U126+V124</x:f>
        <x:v>984362043.4146541</x:v>
      </x:c>
      <x:c r="W126" s="208" t="n">
        <x:f>V126+W124</x:f>
        <x:v>1403183811.4770389</x:v>
      </x:c>
      <x:c r="X126" s="208" t="n">
        <x:f>W126+X124</x:f>
        <x:v>1861869318.9774187</x:v>
      </x:c>
      <x:c r="Y126" s="208" t="n">
        <x:f>X126+Y124</x:f>
        <x:v>2361920233.5911236</x:v>
      </x:c>
      <x:c r="Z126" s="208" t="n">
        <x:f>Y126+Z124</x:f>
        <x:v>2904935424.7455964</x:v>
      </x:c>
    </x:row>
    <x:row r="127" s="112" customFormat="1" ht="15" hidden="1" customHeight="1"/>
    <x:row r="128" s="112" customFormat="1" ht="15" hidden="1" customHeight="1">
      <x:c r="A128" s="207" t="inlineStr">
        <x:is>
          <x:t xml:space="preserve">KB6 · Khách mới</x:t>
        </x:is>
      </x:c>
      <x:c r="C128" s="209" t="n">
        <x:f>$D$86*(1+$E$86)^0</x:f>
        <x:v>10</x:v>
      </x:c>
      <x:c r="D128" s="209" t="n">
        <x:f>$D$86*(1+$E$86)^1</x:f>
        <x:v>10.4</x:v>
      </x:c>
      <x:c r="E128" s="209" t="n">
        <x:f>$D$86*(1+$E$86)^2</x:f>
        <x:v>10.816</x:v>
      </x:c>
      <x:c r="F128" s="209" t="n">
        <x:f>$D$86*(1+$E$86)^3</x:f>
        <x:v>11.248640000000002</x:v>
      </x:c>
      <x:c r="G128" s="209" t="n">
        <x:f>$D$86*(1+$E$86)^4</x:f>
        <x:v>11.698585600000001</x:v>
      </x:c>
      <x:c r="H128" s="209" t="n">
        <x:f>$D$86*(1+$E$86)^5</x:f>
        <x:v>12.166529024</x:v>
      </x:c>
      <x:c r="I128" s="209" t="n">
        <x:f>$D$86*(1+$E$86)^6</x:f>
        <x:v>12.653190184960003</x:v>
      </x:c>
      <x:c r="J128" s="209" t="n">
        <x:f>$D$86*(1+$E$86)^7</x:f>
        <x:v>13.159317792358403</x:v>
      </x:c>
      <x:c r="K128" s="209" t="n">
        <x:f>$D$86*(1+$E$86)^8</x:f>
        <x:v>13.685690504052738</x:v>
      </x:c>
      <x:c r="L128" s="209" t="n">
        <x:f>$D$86*(1+$E$86)^9</x:f>
        <x:v>14.23311812421485</x:v>
      </x:c>
      <x:c r="M128" s="209" t="n">
        <x:f>$D$86*(1+$E$86)^10</x:f>
        <x:v>14.802442849183443</x:v>
      </x:c>
      <x:c r="N128" s="209" t="n">
        <x:f>$D$86*(1+$E$86)^11</x:f>
        <x:v>15.394540563150782</x:v>
      </x:c>
      <x:c r="O128" s="209" t="n">
        <x:f>$D$86*(1+$E$86)^12</x:f>
        <x:v>16.010322185676817</x:v>
      </x:c>
      <x:c r="P128" s="209" t="n">
        <x:f>$D$86*(1+$E$86)^13</x:f>
        <x:v>16.65073507310389</x:v>
      </x:c>
      <x:c r="Q128" s="209" t="n">
        <x:f>$D$86*(1+$E$86)^14</x:f>
        <x:v>17.316764476028045</x:v>
      </x:c>
      <x:c r="R128" s="209" t="n">
        <x:f>$D$86*(1+$E$86)^15</x:f>
        <x:v>18.009435055069165</x:v>
      </x:c>
      <x:c r="S128" s="209" t="n">
        <x:f>$D$86*(1+$E$86)^16</x:f>
        <x:v>18.729812457271933</x:v>
      </x:c>
      <x:c r="T128" s="209" t="n">
        <x:f>$D$86*(1+$E$86)^17</x:f>
        <x:v>19.47900495556281</x:v>
      </x:c>
      <x:c r="U128" s="209" t="n">
        <x:f>$D$86*(1+$E$86)^18</x:f>
        <x:v>20.258165153785328</x:v>
      </x:c>
      <x:c r="V128" s="209" t="n">
        <x:f>$D$86*(1+$E$86)^19</x:f>
        <x:v>21.068491759936737</x:v>
      </x:c>
      <x:c r="W128" s="209" t="n">
        <x:f>$D$86*(1+$E$86)^20</x:f>
        <x:v>21.911231430334208</x:v>
      </x:c>
      <x:c r="X128" s="209" t="n">
        <x:f>$D$86*(1+$E$86)^21</x:f>
        <x:v>22.787680687547578</x:v>
      </x:c>
      <x:c r="Y128" s="209" t="n">
        <x:f>$D$86*(1+$E$86)^22</x:f>
        <x:v>23.699187915049478</x:v>
      </x:c>
      <x:c r="Z128" s="209" t="n">
        <x:f>$D$86*(1+$E$86)^23</x:f>
        <x:v>24.647155431651463</x:v>
      </x:c>
    </x:row>
    <x:row r="129" s="112" customFormat="1" ht="15" hidden="1" customHeight="1">
      <x:c r="A129" s="207" t="inlineStr">
        <x:is>
          <x:t xml:space="preserve">KB6 · Khách đang dùng</x:t>
        </x:is>
      </x:c>
      <x:c r="B129" s="207" t="n">
        <x:v>0</x:v>
      </x:c>
      <x:c r="C129" s="209" t="n">
        <x:f>B129*(1-$F$86)+C128</x:f>
        <x:v>10</x:v>
      </x:c>
      <x:c r="D129" s="209" t="n">
        <x:f>C129*(1-$F$86)+D128</x:f>
        <x:v>19.95</x:v>
      </x:c>
      <x:c r="E129" s="209" t="n">
        <x:f>D129*(1-$F$86)+E128</x:f>
        <x:v>29.868249999999996</x:v>
      </x:c>
      <x:c r="F129" s="209" t="n">
        <x:f>E129*(1-$F$86)+F128</x:f>
        <x:v>39.77281875</x:v>
      </x:c>
      <x:c r="G129" s="209" t="n">
        <x:f>F129*(1-$F$86)+G128</x:f>
        <x:v>49.681627506249995</x:v>
      </x:c>
      <x:c r="H129" s="209" t="n">
        <x:f>G129*(1-$F$86)+H128</x:f>
        <x:v>59.612483292468745</x:v>
      </x:c>
      <x:c r="I129" s="209" t="n">
        <x:f>H129*(1-$F$86)+I128</x:f>
        <x:v>69.58311172926764</x:v>
      </x:c>
      <x:c r="J129" s="209" t="n">
        <x:f>I129*(1-$F$86)+J128</x:f>
        <x:v>79.61118949380901</x:v>
      </x:c>
      <x:c r="K129" s="209" t="n">
        <x:f>J129*(1-$F$86)+K128</x:f>
        <x:v>89.71437647064035</x:v>
      </x:c>
      <x:c r="L129" s="209" t="n">
        <x:f>K129*(1-$F$86)+L128</x:f>
        <x:v>99.91034765367638</x:v>
      </x:c>
      <x:c r="M129" s="209" t="n">
        <x:f>L129*(1-$F$86)+M128</x:f>
        <x:v>110.2168248584444</x:v>
      </x:c>
      <x:c r="N129" s="209" t="n">
        <x:f>M129*(1-$F$86)+N128</x:f>
        <x:v>120.65160830296517</x:v>
      </x:c>
      <x:c r="O129" s="209" t="n">
        <x:f>N129*(1-$F$86)+O128</x:f>
        <x:v>131.23260811500856</x:v>
      </x:c>
      <x:c r="P129" s="209" t="n">
        <x:f>O129*(1-$F$86)+P128</x:f>
        <x:v>141.97787582293705</x:v>
      </x:c>
      <x:c r="Q129" s="209" t="n">
        <x:f>P129*(1-$F$86)+Q128</x:f>
        <x:v>152.90563588693294</x:v>
      </x:c>
      <x:c r="R129" s="209" t="n">
        <x:f>Q129*(1-$F$86)+R128</x:f>
        <x:v>164.03431732709012</x:v>
      </x:c>
      <x:c r="S129" s="209" t="n">
        <x:f>R129*(1-$F$86)+S128</x:f>
        <x:v>175.38258550464298</x:v>
      </x:c>
      <x:c r="T129" s="209" t="n">
        <x:f>S129*(1-$F$86)+T128</x:f>
        <x:v>186.96937411249684</x:v>
      </x:c>
      <x:c r="U129" s="209" t="n">
        <x:f>T129*(1-$F$86)+U128</x:f>
        <x:v>198.8139174312198</x:v>
      </x:c>
      <x:c r="V129" s="209" t="n">
        <x:f>U129*(1-$F$86)+V128</x:f>
        <x:v>210.93578290675165</x:v>
      </x:c>
      <x:c r="W129" s="209" t="n">
        <x:f>V129*(1-$F$86)+W128</x:f>
        <x:v>223.35490410628202</x:v>
      </x:c>
      <x:c r="X129" s="209" t="n">
        <x:f>W129*(1-$F$86)+X128</x:f>
        <x:v>236.0916141090469</x:v>
      </x:c>
      <x:c r="Y129" s="209" t="n">
        <x:f>X129*(1-$F$86)+Y128</x:f>
        <x:v>249.16667938918926</x:v>
      </x:c>
      <x:c r="Z129" s="209" t="n">
        <x:f>Y129*(1-$F$86)+Z128</x:f>
        <x:v>262.6013342483272</x:v>
      </x:c>
    </x:row>
    <x:row r="130" s="112" customFormat="1" ht="15" hidden="1" customHeight="1">
      <x:c r="A130" s="207" t="inlineStr">
        <x:is>
          <x:t xml:space="preserve">KB6 · Dòng tiền ròng</x:t>
        </x:is>
      </x:c>
      <x:c r="B130" s="208" t="n">
        <x:f>-$I$86</x:f>
        <x:v>-600000000</x:v>
      </x:c>
      <x:c r="C130" s="208" t="n">
        <x:f>C129*($B$86-$C$86)-C128*$G$86-$H$86</x:f>
        <x:v>-194093980</x:v>
      </x:c>
      <x:c r="D130" s="208" t="n">
        <x:f>D129*($B$86-$C$86)-D128*$G$86-$H$86</x:f>
        <x:v>-161167490.10000002</x:v>
      </x:c>
      <x:c r="E130" s="208" t="n">
        <x:f>E129*($B$86-$C$86)-E128*$G$86-$H$86</x:f>
        <x:v>-128467001.81350002</x:v>
      </x:c>
      <x:c r="F130" s="208" t="n">
        <x:f>F129*($B$86-$C$86)-F128*$G$86-$H$86</x:f>
        <x:v>-95932117.45061253</x:v>
      </x:c>
      <x:c r="G130" s="208" t="n">
        <x:f>G129*($B$86-$C$86)-G128*$G$86-$H$86</x:f>
        <x:v>-63503148.11280374</x:v>
      </x:c>
      <x:c r="H130" s="208" t="n">
        <x:f>H129*($B$86-$C$86)-H128*$G$86-$H$86</x:f>
        <x:v>-31121001.433095157</x:v>
      </x:c>
      <x:c r="I130" s="208" t="n">
        <x:f>I129*($B$86-$C$86)-I128*$G$86-$H$86</x:f>
        <x:v>1272928.8466118276</x:v>
      </x:c>
      <x:c r="J130" s="208" t="n">
        <x:f>J129*($B$86-$C$86)-J128*$G$86-$H$86</x:f>
        <x:v>33736871.67234078</x:v>
      </x:c>
      <x:c r="K130" s="208" t="n">
        <x:f>K129*($B$86-$C$86)-K128*$G$86-$H$86</x:f>
        <x:v>66328786.05586499</x:v>
      </x:c>
      <x:c r="L130" s="208" t="n">
        <x:f>L129*($B$86-$C$86)-L128*$G$86-$H$86</x:f>
        <x:v>99106467.23648176</x:v>
      </x:c>
      <x:c r="M130" s="208" t="n">
        <x:f>M129*($B$86-$C$86)-M128*$G$86-$H$86</x:f>
        <x:v>132127651.82609612</x:v>
      </x:c>
      <x:c r="N130" s="208" t="n">
        <x:f>N129*($B$86-$C$86)-N128*$G$86-$H$86</x:f>
        <x:v>165450122.13378787</x:v>
      </x:c>
      <x:c r="O130" s="208" t="n">
        <x:f>O129*($B$86-$C$86)-O128*$G$86-$H$86</x:f>
        <x:v>199131809.8632282</x:v>
      </x:c>
      <x:c r="P130" s="208" t="n">
        <x:f>P129*($B$86-$C$86)-P128*$G$86-$H$86</x:f>
        <x:v>233230899.3738622</x:v>
      </x:c>
      <x:c r="Q130" s="208" t="n">
        <x:f>Q129*($B$86-$C$86)-Q128*$G$86-$H$86</x:f>
        <x:v>267805930.69469684</x:v>
      </x:c>
      <x:c r="R130" s="208" t="n">
        <x:f>R129*($B$86-$C$86)-R128*$G$86-$H$86</x:f>
        <x:v>302915902.4778003</x:v>
      </x:c>
      <x:c r="S130" s="208" t="n">
        <x:f>S129*($B$86-$C$86)-S128*$G$86-$H$86</x:f>
        <x:v>338620375.07723856</x:v>
      </x:c>
      <x:c r="T130" s="208" t="n">
        <x:f>T129*($B$86-$C$86)-T128*$G$86-$H$86</x:f>
        <x:v>374979573.9381397</x:v>
      </x:c>
      <x:c r="U130" s="208" t="n">
        <x:f>U129*($B$86-$C$86)-U128*$G$86-$H$86</x:f>
        <x:v>412054493.4798753</x:v>
      </x:c>
      <x:c r="V130" s="208" t="n">
        <x:f>V129*($B$86-$C$86)-V128*$G$86-$H$86</x:f>
        <x:v>449907001.6569911</x:v>
      </x:c>
      <x:c r="W130" s="208" t="n">
        <x:f>W129*($B$86-$C$86)-W128*$G$86-$H$86</x:f>
        <x:v>488599945.381485</x:v>
      </x:c>
      <x:c r="X130" s="208" t="n">
        <x:f>X129*($B$86-$C$86)-X128*$G$86-$H$86</x:f>
        <x:v>528197256.9903389</x:v>
      </x:c>
      <x:c r="Y130" s="208" t="n">
        <x:f>Y129*($B$86-$C$86)-Y128*$G$86-$H$86</x:f>
        <x:v>568764061.9428353</x:v>
      </x:c>
      <x:c r="Z130" s="208" t="n">
        <x:f>Z129*($B$86-$C$86)-Z128*$G$86-$H$86</x:f>
        <x:v>610366787.933152</x:v>
      </x:c>
    </x:row>
    <x:row r="131" s="112" customFormat="1" ht="15" hidden="1" customHeight="1">
      <x:c r="A131" s="207" t="inlineStr">
        <x:is>
          <x:t xml:space="preserve">KB6 · Tiền mặt cuối kỳ</x:t>
        </x:is>
      </x:c>
      <x:c r="B131" s="208" t="n">
        <x:f>$J$86+B130</x:f>
        <x:v>2400000000</x:v>
      </x:c>
      <x:c r="C131" s="208" t="n">
        <x:f>B131+C130</x:f>
        <x:v>2205906020</x:v>
      </x:c>
      <x:c r="D131" s="208" t="n">
        <x:f>C131+D130</x:f>
        <x:v>2044738529.9</x:v>
      </x:c>
      <x:c r="E131" s="208" t="n">
        <x:f>D131+E130</x:f>
        <x:v>1916271528.0865002</x:v>
      </x:c>
      <x:c r="F131" s="208" t="n">
        <x:f>E131+F130</x:f>
        <x:v>1820339410.6358876</x:v>
      </x:c>
      <x:c r="G131" s="208" t="n">
        <x:f>F131+G130</x:f>
        <x:v>1756836262.523084</x:v>
      </x:c>
      <x:c r="H131" s="208" t="n">
        <x:f>G131+H130</x:f>
        <x:v>1725715261.0899887</x:v>
      </x:c>
      <x:c r="I131" s="208" t="n">
        <x:f>H131+I130</x:f>
        <x:v>1726988189.9366004</x:v>
      </x:c>
      <x:c r="J131" s="208" t="n">
        <x:f>I131+J130</x:f>
        <x:v>1760725061.6089413</x:v>
      </x:c>
      <x:c r="K131" s="208" t="n">
        <x:f>J131+K130</x:f>
        <x:v>1827053847.6648064</x:v>
      </x:c>
      <x:c r="L131" s="208" t="n">
        <x:f>K131+L130</x:f>
        <x:v>1926160314.901288</x:v>
      </x:c>
      <x:c r="M131" s="208" t="n">
        <x:f>L131+M130</x:f>
        <x:v>2058287966.727384</x:v>
      </x:c>
      <x:c r="N131" s="208" t="n">
        <x:f>M131+N130</x:f>
        <x:v>2223738088.8611717</x:v>
      </x:c>
      <x:c r="O131" s="208" t="n">
        <x:f>N131+O130</x:f>
        <x:v>2422869898.7244</x:v>
      </x:c>
      <x:c r="P131" s="208" t="n">
        <x:f>O131+P130</x:f>
        <x:v>2656100798.0982623</x:v>
      </x:c>
      <x:c r="Q131" s="208" t="n">
        <x:f>P131+Q130</x:f>
        <x:v>2923906728.792959</x:v>
      </x:c>
      <x:c r="R131" s="208" t="n">
        <x:f>Q131+R130</x:f>
        <x:v>3226822631.2707596</x:v>
      </x:c>
      <x:c r="S131" s="208" t="n">
        <x:f>R131+S130</x:f>
        <x:v>3565443006.347998</x:v>
      </x:c>
      <x:c r="T131" s="208" t="n">
        <x:f>S131+T130</x:f>
        <x:v>3940422580.2861376</x:v>
      </x:c>
      <x:c r="U131" s="208" t="n">
        <x:f>T131+U130</x:f>
        <x:v>4352477073.766013</x:v>
      </x:c>
      <x:c r="V131" s="208" t="n">
        <x:f>U131+V130</x:f>
        <x:v>4802384075.423004</x:v>
      </x:c>
      <x:c r="W131" s="208" t="n">
        <x:f>V131+W130</x:f>
        <x:v>5290984020.804489</x:v>
      </x:c>
      <x:c r="X131" s="208" t="n">
        <x:f>W131+X130</x:f>
        <x:v>5819181277.794828</x:v>
      </x:c>
      <x:c r="Y131" s="208" t="n">
        <x:f>X131+Y130</x:f>
        <x:v>6387945339.737663</x:v>
      </x:c>
      <x:c r="Z131" s="208" t="n">
        <x:f>Y131+Z130</x:f>
        <x:v>6998312127.670815</x:v>
      </x:c>
    </x:row>
    <x:row r="132" s="112" customFormat="1" ht="15" hidden="1" customHeight="1">
      <x:c r="A132" s="207" t="inlineStr">
        <x:is>
          <x:t xml:space="preserve">KB6 · Dòng tiền lũy kế</x:t>
        </x:is>
      </x:c>
      <x:c r="B132" s="208" t="n">
        <x:f>B130</x:f>
        <x:v>-600000000</x:v>
      </x:c>
      <x:c r="C132" s="208" t="n">
        <x:f>B132+C130</x:f>
        <x:v>-794093980</x:v>
      </x:c>
      <x:c r="D132" s="208" t="n">
        <x:f>C132+D130</x:f>
        <x:v>-955261470.1</x:v>
      </x:c>
      <x:c r="E132" s="208" t="n">
        <x:f>D132+E130</x:f>
        <x:v>-1083728471.9135</x:v>
      </x:c>
      <x:c r="F132" s="208" t="n">
        <x:f>E132+F130</x:f>
        <x:v>-1179660589.3641126</x:v>
      </x:c>
      <x:c r="G132" s="208" t="n">
        <x:f>F132+G130</x:f>
        <x:v>-1243163737.4769163</x:v>
      </x:c>
      <x:c r="H132" s="208" t="n">
        <x:f>G132+H130</x:f>
        <x:v>-1274284738.9100115</x:v>
      </x:c>
      <x:c r="I132" s="208" t="n">
        <x:f>H132+I130</x:f>
        <x:v>-1273011810.0633998</x:v>
      </x:c>
      <x:c r="J132" s="208" t="n">
        <x:f>I132+J130</x:f>
        <x:v>-1239274938.391059</x:v>
      </x:c>
      <x:c r="K132" s="208" t="n">
        <x:f>J132+K130</x:f>
        <x:v>-1172946152.3351939</x:v>
      </x:c>
      <x:c r="L132" s="208" t="n">
        <x:f>K132+L130</x:f>
        <x:v>-1073839685.0987122</x:v>
      </x:c>
      <x:c r="M132" s="208" t="n">
        <x:f>L132+M130</x:f>
        <x:v>-941712033.2726161</x:v>
      </x:c>
      <x:c r="N132" s="208" t="n">
        <x:f>M132+N130</x:f>
        <x:v>-776261911.1388283</x:v>
      </x:c>
      <x:c r="O132" s="208" t="n">
        <x:f>N132+O130</x:f>
        <x:v>-577130101.2756001</x:v>
      </x:c>
      <x:c r="P132" s="208" t="n">
        <x:f>O132+P130</x:f>
        <x:v>-343899201.90173787</x:v>
      </x:c>
      <x:c r="Q132" s="208" t="n">
        <x:f>P132+Q130</x:f>
        <x:v>-76093271.20704103</x:v>
      </x:c>
      <x:c r="R132" s="208" t="n">
        <x:f>Q132+R130</x:f>
        <x:v>226822631.27075928</x:v>
      </x:c>
      <x:c r="S132" s="208" t="n">
        <x:f>R132+S130</x:f>
        <x:v>565443006.3479979</x:v>
      </x:c>
      <x:c r="T132" s="208" t="n">
        <x:f>S132+T130</x:f>
        <x:v>940422580.2861376</x:v>
      </x:c>
      <x:c r="U132" s="208" t="n">
        <x:f>T132+U130</x:f>
        <x:v>1352477073.766013</x:v>
      </x:c>
      <x:c r="V132" s="208" t="n">
        <x:f>U132+V130</x:f>
        <x:v>1802384075.4230042</x:v>
      </x:c>
      <x:c r="W132" s="208" t="n">
        <x:f>V132+W130</x:f>
        <x:v>2290984020.804489</x:v>
      </x:c>
      <x:c r="X132" s="208" t="n">
        <x:f>W132+X130</x:f>
        <x:v>2819181277.794828</x:v>
      </x:c>
      <x:c r="Y132" s="208" t="n">
        <x:f>X132+Y130</x:f>
        <x:v>3387945339.7376633</x:v>
      </x:c>
      <x:c r="Z132" s="208" t="n">
        <x:f>Y132+Z130</x:f>
        <x:v>3998312127.6708155</x:v>
      </x:c>
    </x:row>
    <x:row r="133" s="112" customFormat="1" ht="15" hidden="1" customHeight="1"/>
    <x:row r="134" s="112" customFormat="1" ht="15" hidden="1" customHeight="1">
      <x:c r="A134" s="207" t="inlineStr">
        <x:is>
          <x:t xml:space="preserve">KB7 · Khách mới</x:t>
        </x:is>
      </x:c>
      <x:c r="C134" s="209" t="n">
        <x:f>$D$87*(1+$E$87)^0</x:f>
        <x:v>10</x:v>
      </x:c>
      <x:c r="D134" s="209" t="n">
        <x:f>$D$87*(1+$E$87)^1</x:f>
        <x:v>10.5</x:v>
      </x:c>
      <x:c r="E134" s="209" t="n">
        <x:f>$D$87*(1+$E$87)^2</x:f>
        <x:v>11.025</x:v>
      </x:c>
      <x:c r="F134" s="209" t="n">
        <x:f>$D$87*(1+$E$87)^3</x:f>
        <x:v>11.576250000000002</x:v>
      </x:c>
      <x:c r="G134" s="209" t="n">
        <x:f>$D$87*(1+$E$87)^4</x:f>
        <x:v>12.155062500000003</x:v>
      </x:c>
      <x:c r="H134" s="209" t="n">
        <x:f>$D$87*(1+$E$87)^5</x:f>
        <x:v>12.762815625000004</x:v>
      </x:c>
      <x:c r="I134" s="209" t="n">
        <x:f>$D$87*(1+$E$87)^6</x:f>
        <x:v>13.400956406250003</x:v>
      </x:c>
      <x:c r="J134" s="209" t="n">
        <x:f>$D$87*(1+$E$87)^7</x:f>
        <x:v>14.071004226562504</x:v>
      </x:c>
      <x:c r="K134" s="209" t="n">
        <x:f>$D$87*(1+$E$87)^8</x:f>
        <x:v>14.77455443789063</x:v>
      </x:c>
      <x:c r="L134" s="209" t="n">
        <x:f>$D$87*(1+$E$87)^9</x:f>
        <x:v>15.513282159785163</x:v>
      </x:c>
      <x:c r="M134" s="209" t="n">
        <x:f>$D$87*(1+$E$87)^10</x:f>
        <x:v>16.28894626777442</x:v>
      </x:c>
      <x:c r="N134" s="209" t="n">
        <x:f>$D$87*(1+$E$87)^11</x:f>
        <x:v>17.103393581163143</x:v>
      </x:c>
      <x:c r="O134" s="209" t="n">
        <x:f>$D$87*(1+$E$87)^12</x:f>
        <x:v>17.9585632602213</x:v>
      </x:c>
      <x:c r="P134" s="209" t="n">
        <x:f>$D$87*(1+$E$87)^13</x:f>
        <x:v>18.856491423232367</x:v>
      </x:c>
      <x:c r="Q134" s="209" t="n">
        <x:f>$D$87*(1+$E$87)^14</x:f>
        <x:v>19.799315994393986</x:v>
      </x:c>
      <x:c r="R134" s="209" t="n">
        <x:f>$D$87*(1+$E$87)^15</x:f>
        <x:v>20.789281794113688</x:v>
      </x:c>
      <x:c r="S134" s="209" t="n">
        <x:f>$D$87*(1+$E$87)^16</x:f>
        <x:v>21.82874588381937</x:v>
      </x:c>
      <x:c r="T134" s="209" t="n">
        <x:f>$D$87*(1+$E$87)^17</x:f>
        <x:v>22.92018317801034</x:v>
      </x:c>
      <x:c r="U134" s="209" t="n">
        <x:f>$D$87*(1+$E$87)^18</x:f>
        <x:v>24.066192336910856</x:v>
      </x:c>
      <x:c r="V134" s="209" t="n">
        <x:f>$D$87*(1+$E$87)^19</x:f>
        <x:v>25.269501953756404</x:v>
      </x:c>
      <x:c r="W134" s="209" t="n">
        <x:f>$D$87*(1+$E$87)^20</x:f>
        <x:v>26.53297705144422</x:v>
      </x:c>
      <x:c r="X134" s="209" t="n">
        <x:f>$D$87*(1+$E$87)^21</x:f>
        <x:v>27.859625904016436</x:v>
      </x:c>
      <x:c r="Y134" s="209" t="n">
        <x:f>$D$87*(1+$E$87)^22</x:f>
        <x:v>29.25260719921726</x:v>
      </x:c>
      <x:c r="Z134" s="209" t="n">
        <x:f>$D$87*(1+$E$87)^23</x:f>
        <x:v>30.715237559178124</x:v>
      </x:c>
    </x:row>
    <x:row r="135" s="112" customFormat="1" ht="15" hidden="1" customHeight="1">
      <x:c r="A135" s="207" t="inlineStr">
        <x:is>
          <x:t xml:space="preserve">KB7 · Khách đang dùng</x:t>
        </x:is>
      </x:c>
      <x:c r="B135" s="207" t="n">
        <x:v>0</x:v>
      </x:c>
      <x:c r="C135" s="209" t="n">
        <x:f>B135*(1-$F$87)+C134</x:f>
        <x:v>10</x:v>
      </x:c>
      <x:c r="D135" s="209" t="n">
        <x:f>C135*(1-$F$87)+D134</x:f>
        <x:v>20.049999999999997</x:v>
      </x:c>
      <x:c r="E135" s="209" t="n">
        <x:f>D135*(1-$F$87)+E134</x:f>
        <x:v>30.172749999999994</x:v>
      </x:c>
      <x:c r="F135" s="209" t="n">
        <x:f>E135*(1-$F$87)+F134</x:f>
        <x:v>40.391226249999995</x:v>
      </x:c>
      <x:c r="G135" s="209" t="n">
        <x:f>F135*(1-$F$87)+G134</x:f>
        <x:v>50.72868356875</x:v>
      </x:c>
      <x:c r="H135" s="209" t="n">
        <x:f>G135*(1-$F$87)+H134</x:f>
        <x:v>61.20870843315625</x:v>
      </x:c>
      <x:c r="I135" s="209" t="n">
        <x:f>H135*(1-$F$87)+I134</x:f>
        <x:v>71.85527295991422</x:v>
      </x:c>
      <x:c r="J135" s="209" t="n">
        <x:f>I135*(1-$F$87)+J134</x:f>
        <x:v>82.69278990328058</x:v>
      </x:c>
      <x:c r="K135" s="209" t="n">
        <x:f>J135*(1-$F$87)+K134</x:f>
        <x:v>93.74616879552359</x:v>
      </x:c>
      <x:c r="L135" s="209" t="n">
        <x:f>K135*(1-$F$87)+L134</x:f>
        <x:v>105.04087335951019</x:v>
      </x:c>
      <x:c r="M135" s="209" t="n">
        <x:f>L135*(1-$F$87)+M134</x:f>
        <x:v>116.60298032610665</x:v>
      </x:c>
      <x:c r="N135" s="209" t="n">
        <x:f>M135*(1-$F$87)+N134</x:f>
        <x:v>128.45923979259499</x:v>
      </x:c>
      <x:c r="O135" s="209" t="n">
        <x:f>N135*(1-$F$87)+O134</x:f>
        <x:v>140.6371372621495</x:v>
      </x:c>
      <x:c r="P135" s="209" t="n">
        <x:f>O135*(1-$F$87)+P134</x:f>
        <x:v>153.16495750858513</x:v>
      </x:c>
      <x:c r="Q135" s="209" t="n">
        <x:f>P135*(1-$F$87)+Q134</x:f>
        <x:v>166.0718504150928</x:v>
      </x:c>
      <x:c r="R135" s="209" t="n">
        <x:f>Q135*(1-$F$87)+R134</x:f>
        <x:v>179.3878989405273</x:v>
      </x:c>
      <x:c r="S135" s="209" t="n">
        <x:f>R135*(1-$F$87)+S134</x:f>
        <x:v>193.14418937202294</x:v>
      </x:c>
      <x:c r="T135" s="209" t="n">
        <x:f>S135*(1-$F$87)+T134</x:f>
        <x:v>207.37288402829225</x:v>
      </x:c>
      <x:c r="U135" s="209" t="n">
        <x:f>T135*(1-$F$87)+U134</x:f>
        <x:v>222.10729658392995</x:v>
      </x:c>
      <x:c r="V135" s="209" t="n">
        <x:f>U135*(1-$F$87)+V134</x:f>
        <x:v>237.3819701914095</x:v>
      </x:c>
      <x:c r="W135" s="209" t="n">
        <x:f>V135*(1-$F$87)+W134</x:f>
        <x:v>253.2327585842403</x:v>
      </x:c>
      <x:c r="X135" s="209" t="n">
        <x:f>W135*(1-$F$87)+X134</x:f>
        <x:v>269.69691035196587</x:v>
      </x:c>
      <x:c r="Y135" s="209" t="n">
        <x:f>X135*(1-$F$87)+Y134</x:f>
        <x:v>286.81315658534464</x:v>
      </x:c>
      <x:c r="Z135" s="209" t="n">
        <x:f>Y135*(1-$F$87)+Z134</x:f>
        <x:v>304.6218020981823</x:v>
      </x:c>
    </x:row>
    <x:row r="136" s="112" customFormat="1" ht="15" hidden="1" customHeight="1">
      <x:c r="A136" s="207" t="inlineStr">
        <x:is>
          <x:t xml:space="preserve">KB7 · Dòng tiền ròng</x:t>
        </x:is>
      </x:c>
      <x:c r="B136" s="208" t="n">
        <x:f>-$I$87</x:f>
        <x:v>-600000000</x:v>
      </x:c>
      <x:c r="C136" s="208" t="n">
        <x:f>C135*($B$87-$C$87)-C134*$G$87-$H$87</x:f>
        <x:v>-226093980</x:v>
      </x:c>
      <x:c r="D136" s="208" t="n">
        <x:f>D135*($B$87-$C$87)-D134*$G$87-$H$87</x:f>
        <x:v>-193508429.9</x:v>
      </x:c>
      <x:c r="E136" s="208" t="n">
        <x:f>E135*($B$87-$C$87)-E134*$G$87-$H$87</x:f>
        <x:v>-160836663.50450003</x:v>
      </x:c>
      <x:c r="F136" s="208" t="n">
        <x:f>F135*($B$87-$C$87)-F134*$G$87-$H$87</x:f>
        <x:v>-128004932.24429752</x:v>
      </x:c>
      <x:c r="G136" s="208" t="n">
        <x:f>G135*($B$87-$C$87)-G134*$G$87-$H$87</x:f>
        <x:v>-94938924.82067913</x:v>
      </x:c>
      <x:c r="H136" s="208" t="n">
        <x:f>H135*($B$87-$C$87)-H134*$G$87-$H$87</x:f>
        <x:v>-61563598.45749235</x:v>
      </x:c>
      <x:c r="I136" s="208" t="n">
        <x:f>I135*($B$87-$C$87)-I134*$G$87-$H$87</x:f>
        <x:v>-27803008.043336123</x:v>
      </x:c>
      <x:c r="J136" s="208" t="n">
        <x:f>J135*($B$87-$C$87)-J134*$G$87-$H$87</x:f>
        <x:v>6419867.226361543</x:v>
      </x:c>
      <x:c r="K136" s="208" t="n">
        <x:f>K135*($B$87-$C$87)-K134*$G$87-$H$87</x:f>
        <x:v>41183300.104310155</x:v>
      </x:c>
      <x:c r="L136" s="208" t="n">
        <x:f>L135*($B$87-$C$87)-L134*$G$87-$H$87</x:f>
        <x:v>76566994.8479079</x:v>
      </x:c>
      <x:c r="M136" s="208" t="n">
        <x:f>M135*($B$87-$C$87)-M134*$G$87-$H$87</x:f>
        <x:v>112652270.49045825</x:v>
      </x:c>
      <x:c r="N136" s="208" t="n">
        <x:f>N135*($B$87-$C$87)-N134*$G$87-$H$87</x:f>
        <x:v>149522248.24962914</x:v>
      </x:c>
      <x:c r="O136" s="208" t="n">
        <x:f>O135*($B$87-$C$87)-O134*$G$87-$H$87</x:f>
        <x:v>187262043.50619942</x:v>
      </x:c>
      <x:c r="P136" s="208" t="n">
        <x:f>P135*($B$87-$C$87)-P134*$G$87-$H$87</x:f>
        <x:v>225958962.79761422</x:v>
      </x:c>
      <x:c r="Q136" s="208" t="n">
        <x:f>Q135*($B$87-$C$87)-Q134*$G$87-$H$87</x:f>
        <x:v>265702706.28337508</x:v>
      </x:c>
      <x:c r="R136" s="208" t="n">
        <x:f>R135*($B$87-$C$87)-R134*$G$87-$H$87</x:f>
        <x:v>306585576.15285933</x:v>
      </x:c>
      <x:c r="S136" s="208" t="n">
        <x:f>S135*($B$87-$C$87)-S134*$G$87-$H$87</x:f>
        <x:v>348702691.4608288</x:v>
      </x:c>
      <x:c r="T136" s="208" t="n">
        <x:f>T135*($B$87-$C$87)-T134*$G$87-$H$87</x:f>
        <x:v>392152209.8916818</x:v>
      </x:c>
      <x:c r="U136" s="208" t="n">
        <x:f>U135*($B$87-$C$87)-U134*$G$87-$H$87</x:f>
        <x:v>437035556.97047603</x:v>
      </x:c>
      <x:c r="V136" s="208" t="n">
        <x:f>V135*($B$87-$C$87)-V134*$G$87-$H$87</x:f>
        <x:v>483457663.25692046</x:v>
      </x:c>
      <x:c r="W136" s="208" t="n">
        <x:f>W135*($B$87-$C$87)-W134*$G$87-$H$87</x:f>
        <x:v>531527210.07798076</x:v>
      </x:c>
      <x:c r="X136" s="208" t="n">
        <x:f>X135*($B$87-$C$87)-X134*$G$87-$H$87</x:f>
        <x:v>581356884.3754742</x:v>
      </x:c>
      <x:c r="Y136" s="208" t="n">
        <x:f>Y135*($B$87-$C$87)-Y134*$G$87-$H$87</x:f>
        <x:v>633063643.2671309</x:v>
      </x:c>
      <x:c r="Z136" s="208" t="n">
        <x:f>Z135*($B$87-$C$87)-Z134*$G$87-$H$87</x:f>
        <x:v>686768988.9430907</x:v>
      </x:c>
    </x:row>
    <x:row r="137" s="112" customFormat="1" ht="15" hidden="1" customHeight="1">
      <x:c r="A137" s="207" t="inlineStr">
        <x:is>
          <x:t xml:space="preserve">KB7 · Tiền mặt cuối kỳ</x:t>
        </x:is>
      </x:c>
      <x:c r="B137" s="208" t="n">
        <x:f>$J$87+B136</x:f>
        <x:v>2400000000</x:v>
      </x:c>
      <x:c r="C137" s="208" t="n">
        <x:f>B137+C136</x:f>
        <x:v>2173906020</x:v>
      </x:c>
      <x:c r="D137" s="208" t="n">
        <x:f>C137+D136</x:f>
        <x:v>1980397590.1</x:v>
      </x:c>
      <x:c r="E137" s="208" t="n">
        <x:f>D137+E136</x:f>
        <x:v>1819560926.5955</x:v>
      </x:c>
      <x:c r="F137" s="208" t="n">
        <x:f>E137+F136</x:f>
        <x:v>1691555994.3512025</x:v>
      </x:c>
      <x:c r="G137" s="208" t="n">
        <x:f>F137+G136</x:f>
        <x:v>1596617069.5305233</x:v>
      </x:c>
      <x:c r="H137" s="208" t="n">
        <x:f>G137+H136</x:f>
        <x:v>1535053471.073031</x:v>
      </x:c>
      <x:c r="I137" s="208" t="n">
        <x:f>H137+I136</x:f>
        <x:v>1507250463.0296948</x:v>
      </x:c>
      <x:c r="J137" s="208" t="n">
        <x:f>I137+J136</x:f>
        <x:v>1513670330.2560563</x:v>
      </x:c>
      <x:c r="K137" s="208" t="n">
        <x:f>J137+K136</x:f>
        <x:v>1554853630.3603663</x:v>
      </x:c>
      <x:c r="L137" s="208" t="n">
        <x:f>K137+L136</x:f>
        <x:v>1631420625.2082744</x:v>
      </x:c>
      <x:c r="M137" s="208" t="n">
        <x:f>L137+M136</x:f>
        <x:v>1744072895.6987326</x:v>
      </x:c>
      <x:c r="N137" s="208" t="n">
        <x:f>M137+N136</x:f>
        <x:v>1893595143.9483619</x:v>
      </x:c>
      <x:c r="O137" s="208" t="n">
        <x:f>N137+O136</x:f>
        <x:v>2080857187.4545612</x:v>
      </x:c>
      <x:c r="P137" s="208" t="n">
        <x:f>O137+P136</x:f>
        <x:v>2306816150.2521753</x:v>
      </x:c>
      <x:c r="Q137" s="208" t="n">
        <x:f>P137+Q136</x:f>
        <x:v>2572518856.5355506</x:v>
      </x:c>
      <x:c r="R137" s="208" t="n">
        <x:f>Q137+R136</x:f>
        <x:v>2879104432.68841</x:v>
      </x:c>
      <x:c r="S137" s="208" t="n">
        <x:f>R137+S136</x:f>
        <x:v>3227807124.1492386</x:v>
      </x:c>
      <x:c r="T137" s="208" t="n">
        <x:f>S137+T136</x:f>
        <x:v>3619959334.0409203</x:v>
      </x:c>
      <x:c r="U137" s="208" t="n">
        <x:f>T137+U136</x:f>
        <x:v>4056994891.0113964</x:v>
      </x:c>
      <x:c r="V137" s="208" t="n">
        <x:f>U137+V136</x:f>
        <x:v>4540452554.268317</x:v>
      </x:c>
      <x:c r="W137" s="208" t="n">
        <x:f>V137+W136</x:f>
        <x:v>5071979764.346298</x:v>
      </x:c>
      <x:c r="X137" s="208" t="n">
        <x:f>W137+X136</x:f>
        <x:v>5653336648.721772</x:v>
      </x:c>
      <x:c r="Y137" s="208" t="n">
        <x:f>X137+Y136</x:f>
        <x:v>6286400291.988903</x:v>
      </x:c>
      <x:c r="Z137" s="208" t="n">
        <x:f>Y137+Z136</x:f>
        <x:v>6973169280.9319935</x:v>
      </x:c>
    </x:row>
    <x:row r="138" s="112" customFormat="1" ht="15" hidden="1" customHeight="1">
      <x:c r="A138" s="207" t="inlineStr">
        <x:is>
          <x:t xml:space="preserve">KB7 · Dòng tiền lũy kế</x:t>
        </x:is>
      </x:c>
      <x:c r="B138" s="208" t="n">
        <x:f>B136</x:f>
        <x:v>-600000000</x:v>
      </x:c>
      <x:c r="C138" s="208" t="n">
        <x:f>B138+C136</x:f>
        <x:v>-826093980</x:v>
      </x:c>
      <x:c r="D138" s="208" t="n">
        <x:f>C138+D136</x:f>
        <x:v>-1019602409.9</x:v>
      </x:c>
      <x:c r="E138" s="208" t="n">
        <x:f>D138+E136</x:f>
        <x:v>-1180439073.4045</x:v>
      </x:c>
      <x:c r="F138" s="208" t="n">
        <x:f>E138+F136</x:f>
        <x:v>-1308444005.6487975</x:v>
      </x:c>
      <x:c r="G138" s="208" t="n">
        <x:f>F138+G136</x:f>
        <x:v>-1403382930.4694767</x:v>
      </x:c>
      <x:c r="H138" s="208" t="n">
        <x:f>G138+H136</x:f>
        <x:v>-1464946528.926969</x:v>
      </x:c>
      <x:c r="I138" s="208" t="n">
        <x:f>H138+I136</x:f>
        <x:v>-1492749536.9703052</x:v>
      </x:c>
      <x:c r="J138" s="208" t="n">
        <x:f>I138+J136</x:f>
        <x:v>-1486329669.7439437</x:v>
      </x:c>
      <x:c r="K138" s="208" t="n">
        <x:f>J138+K136</x:f>
        <x:v>-1445146369.6396337</x:v>
      </x:c>
      <x:c r="L138" s="208" t="n">
        <x:f>K138+L136</x:f>
        <x:v>-1368579374.7917256</x:v>
      </x:c>
      <x:c r="M138" s="208" t="n">
        <x:f>L138+M136</x:f>
        <x:v>-1255927104.3012674</x:v>
      </x:c>
      <x:c r="N138" s="208" t="n">
        <x:f>M138+N136</x:f>
        <x:v>-1106404856.0516381</x:v>
      </x:c>
      <x:c r="O138" s="208" t="n">
        <x:f>N138+O136</x:f>
        <x:v>-919142812.5454388</x:v>
      </x:c>
      <x:c r="P138" s="208" t="n">
        <x:f>O138+P136</x:f>
        <x:v>-693183849.7478245</x:v>
      </x:c>
      <x:c r="Q138" s="208" t="n">
        <x:f>P138+Q136</x:f>
        <x:v>-427481143.46444947</x:v>
      </x:c>
      <x:c r="R138" s="208" t="n">
        <x:f>Q138+R136</x:f>
        <x:v>-120895567.31159014</x:v>
      </x:c>
      <x:c r="S138" s="208" t="n">
        <x:f>R138+S136</x:f>
        <x:v>227807124.14923865</x:v>
      </x:c>
      <x:c r="T138" s="208" t="n">
        <x:f>S138+T136</x:f>
        <x:v>619959334.0409205</x:v>
      </x:c>
      <x:c r="U138" s="208" t="n">
        <x:f>T138+U136</x:f>
        <x:v>1056994891.0113965</x:v>
      </x:c>
      <x:c r="V138" s="208" t="n">
        <x:f>U138+V136</x:f>
        <x:v>1540452554.268317</x:v>
      </x:c>
      <x:c r="W138" s="208" t="n">
        <x:f>V138+W136</x:f>
        <x:v>2071979764.3462977</x:v>
      </x:c>
      <x:c r="X138" s="208" t="n">
        <x:f>W138+X136</x:f>
        <x:v>2653336648.721772</x:v>
      </x:c>
      <x:c r="Y138" s="208" t="n">
        <x:f>X138+Y136</x:f>
        <x:v>3286400291.988903</x:v>
      </x:c>
      <x:c r="Z138" s="208" t="n">
        <x:f>Y138+Z136</x:f>
        <x:v>3973169280.9319935</x:v>
      </x:c>
    </x:row>
    <x:row r="139" s="112" customFormat="1" ht="15" hidden="1" customHeight="1"/>
    <x:row r="140" s="112" customFormat="1" ht="15" hidden="1" customHeight="1">
      <x:c r="A140" s="207" t="inlineStr">
        <x:is>
          <x:t xml:space="preserve">KB8 · Khách mới</x:t>
        </x:is>
      </x:c>
      <x:c r="C140" s="209" t="n">
        <x:f>$D$88*(1+$E$88)^0</x:f>
        <x:v>10</x:v>
      </x:c>
      <x:c r="D140" s="209" t="n">
        <x:f>$D$88*(1+$E$88)^1</x:f>
        <x:v>10.5</x:v>
      </x:c>
      <x:c r="E140" s="209" t="n">
        <x:f>$D$88*(1+$E$88)^2</x:f>
        <x:v>11.025</x:v>
      </x:c>
      <x:c r="F140" s="209" t="n">
        <x:f>$D$88*(1+$E$88)^3</x:f>
        <x:v>11.576250000000002</x:v>
      </x:c>
      <x:c r="G140" s="209" t="n">
        <x:f>$D$88*(1+$E$88)^4</x:f>
        <x:v>12.155062500000003</x:v>
      </x:c>
      <x:c r="H140" s="209" t="n">
        <x:f>$D$88*(1+$E$88)^5</x:f>
        <x:v>12.762815625000004</x:v>
      </x:c>
      <x:c r="I140" s="209" t="n">
        <x:f>$D$88*(1+$E$88)^6</x:f>
        <x:v>13.400956406250003</x:v>
      </x:c>
      <x:c r="J140" s="209" t="n">
        <x:f>$D$88*(1+$E$88)^7</x:f>
        <x:v>14.071004226562504</x:v>
      </x:c>
      <x:c r="K140" s="209" t="n">
        <x:f>$D$88*(1+$E$88)^8</x:f>
        <x:v>14.77455443789063</x:v>
      </x:c>
      <x:c r="L140" s="209" t="n">
        <x:f>$D$88*(1+$E$88)^9</x:f>
        <x:v>15.513282159785163</x:v>
      </x:c>
      <x:c r="M140" s="209" t="n">
        <x:f>$D$88*(1+$E$88)^10</x:f>
        <x:v>16.28894626777442</x:v>
      </x:c>
      <x:c r="N140" s="209" t="n">
        <x:f>$D$88*(1+$E$88)^11</x:f>
        <x:v>17.103393581163143</x:v>
      </x:c>
      <x:c r="O140" s="209" t="n">
        <x:f>$D$88*(1+$E$88)^12</x:f>
        <x:v>17.9585632602213</x:v>
      </x:c>
      <x:c r="P140" s="209" t="n">
        <x:f>$D$88*(1+$E$88)^13</x:f>
        <x:v>18.856491423232367</x:v>
      </x:c>
      <x:c r="Q140" s="209" t="n">
        <x:f>$D$88*(1+$E$88)^14</x:f>
        <x:v>19.799315994393986</x:v>
      </x:c>
      <x:c r="R140" s="209" t="n">
        <x:f>$D$88*(1+$E$88)^15</x:f>
        <x:v>20.789281794113688</x:v>
      </x:c>
      <x:c r="S140" s="209" t="n">
        <x:f>$D$88*(1+$E$88)^16</x:f>
        <x:v>21.82874588381937</x:v>
      </x:c>
      <x:c r="T140" s="209" t="n">
        <x:f>$D$88*(1+$E$88)^17</x:f>
        <x:v>22.92018317801034</x:v>
      </x:c>
      <x:c r="U140" s="209" t="n">
        <x:f>$D$88*(1+$E$88)^18</x:f>
        <x:v>24.066192336910856</x:v>
      </x:c>
      <x:c r="V140" s="209" t="n">
        <x:f>$D$88*(1+$E$88)^19</x:f>
        <x:v>25.269501953756404</x:v>
      </x:c>
      <x:c r="W140" s="209" t="n">
        <x:f>$D$88*(1+$E$88)^20</x:f>
        <x:v>26.53297705144422</x:v>
      </x:c>
      <x:c r="X140" s="209" t="n">
        <x:f>$D$88*(1+$E$88)^21</x:f>
        <x:v>27.859625904016436</x:v>
      </x:c>
      <x:c r="Y140" s="209" t="n">
        <x:f>$D$88*(1+$E$88)^22</x:f>
        <x:v>29.25260719921726</x:v>
      </x:c>
      <x:c r="Z140" s="209" t="n">
        <x:f>$D$88*(1+$E$88)^23</x:f>
        <x:v>30.715237559178124</x:v>
      </x:c>
    </x:row>
    <x:row r="141" s="112" customFormat="1" ht="15" hidden="1" customHeight="1">
      <x:c r="A141" s="207" t="inlineStr">
        <x:is>
          <x:t xml:space="preserve">KB8 · Khách đang dùng</x:t>
        </x:is>
      </x:c>
      <x:c r="B141" s="207" t="n">
        <x:v>0</x:v>
      </x:c>
      <x:c r="C141" s="209" t="n">
        <x:f>B141*(1-$F$88)+C140</x:f>
        <x:v>10</x:v>
      </x:c>
      <x:c r="D141" s="209" t="n">
        <x:f>C141*(1-$F$88)+D140</x:f>
        <x:v>20.049999999999997</x:v>
      </x:c>
      <x:c r="E141" s="209" t="n">
        <x:f>D141*(1-$F$88)+E140</x:f>
        <x:v>30.172749999999994</x:v>
      </x:c>
      <x:c r="F141" s="209" t="n">
        <x:f>E141*(1-$F$88)+F140</x:f>
        <x:v>40.391226249999995</x:v>
      </x:c>
      <x:c r="G141" s="209" t="n">
        <x:f>F141*(1-$F$88)+G140</x:f>
        <x:v>50.72868356875</x:v>
      </x:c>
      <x:c r="H141" s="209" t="n">
        <x:f>G141*(1-$F$88)+H140</x:f>
        <x:v>61.20870843315625</x:v>
      </x:c>
      <x:c r="I141" s="209" t="n">
        <x:f>H141*(1-$F$88)+I140</x:f>
        <x:v>71.85527295991422</x:v>
      </x:c>
      <x:c r="J141" s="209" t="n">
        <x:f>I141*(1-$F$88)+J140</x:f>
        <x:v>82.69278990328058</x:v>
      </x:c>
      <x:c r="K141" s="209" t="n">
        <x:f>J141*(1-$F$88)+K140</x:f>
        <x:v>93.74616879552359</x:v>
      </x:c>
      <x:c r="L141" s="209" t="n">
        <x:f>K141*(1-$F$88)+L140</x:f>
        <x:v>105.04087335951019</x:v>
      </x:c>
      <x:c r="M141" s="209" t="n">
        <x:f>L141*(1-$F$88)+M140</x:f>
        <x:v>116.60298032610665</x:v>
      </x:c>
      <x:c r="N141" s="209" t="n">
        <x:f>M141*(1-$F$88)+N140</x:f>
        <x:v>128.45923979259499</x:v>
      </x:c>
      <x:c r="O141" s="209" t="n">
        <x:f>N141*(1-$F$88)+O140</x:f>
        <x:v>140.6371372621495</x:v>
      </x:c>
      <x:c r="P141" s="209" t="n">
        <x:f>O141*(1-$F$88)+P140</x:f>
        <x:v>153.16495750858513</x:v>
      </x:c>
      <x:c r="Q141" s="209" t="n">
        <x:f>P141*(1-$F$88)+Q140</x:f>
        <x:v>166.0718504150928</x:v>
      </x:c>
      <x:c r="R141" s="209" t="n">
        <x:f>Q141*(1-$F$88)+R140</x:f>
        <x:v>179.3878989405273</x:v>
      </x:c>
      <x:c r="S141" s="209" t="n">
        <x:f>R141*(1-$F$88)+S140</x:f>
        <x:v>193.14418937202294</x:v>
      </x:c>
      <x:c r="T141" s="209" t="n">
        <x:f>S141*(1-$F$88)+T140</x:f>
        <x:v>207.37288402829225</x:v>
      </x:c>
      <x:c r="U141" s="209" t="n">
        <x:f>T141*(1-$F$88)+U140</x:f>
        <x:v>222.10729658392995</x:v>
      </x:c>
      <x:c r="V141" s="209" t="n">
        <x:f>U141*(1-$F$88)+V140</x:f>
        <x:v>237.3819701914095</x:v>
      </x:c>
      <x:c r="W141" s="209" t="n">
        <x:f>V141*(1-$F$88)+W140</x:f>
        <x:v>253.2327585842403</x:v>
      </x:c>
      <x:c r="X141" s="209" t="n">
        <x:f>W141*(1-$F$88)+X140</x:f>
        <x:v>269.69691035196587</x:v>
      </x:c>
      <x:c r="Y141" s="209" t="n">
        <x:f>X141*(1-$F$88)+Y140</x:f>
        <x:v>286.81315658534464</x:v>
      </x:c>
      <x:c r="Z141" s="209" t="n">
        <x:f>Y141*(1-$F$88)+Z140</x:f>
        <x:v>304.6218020981823</x:v>
      </x:c>
    </x:row>
    <x:row r="142" s="112" customFormat="1" ht="15" hidden="1" customHeight="1">
      <x:c r="A142" s="207" t="inlineStr">
        <x:is>
          <x:t xml:space="preserve">KB8 · Dòng tiền ròng</x:t>
        </x:is>
      </x:c>
      <x:c r="B142" s="208" t="n">
        <x:f>-$I$88</x:f>
        <x:v>-600000000</x:v>
      </x:c>
      <x:c r="C142" s="208" t="n">
        <x:f>C141*($B$88-$C$88)-C140*$G$88-$H$88</x:f>
        <x:v>-206896990</x:v>
      </x:c>
      <x:c r="D142" s="208" t="n">
        <x:f>D141*($B$88-$C$88)-D140*$G$88-$H$88</x:f>
        <x:v>-187178464.95</x:v>
      </x:c>
      <x:c r="E142" s="208" t="n">
        <x:f>E141*($B$88-$C$88)-E140*$G$88-$H$88</x:f>
        <x:v>-167466865.50225002</x:v>
      </x:c>
      <x:c r="F142" s="208" t="n">
        <x:f>F141*($B$88-$C$88)-F140*$G$88-$H$88</x:f>
        <x:v>-147717859.60339877</x:v>
      </x:c>
      <x:c r="G142" s="208" t="n">
        <x:f>G141*($B$88-$C$88)-G140*$G$88-$H$88</x:f>
        <x:v>-127886909.12243333</x:v>
      </x:c>
      <x:c r="H142" s="208" t="n">
        <x:f>H141*($B$88-$C$88)-H140*$G$88-$H$88</x:f>
        <x:v>-107929169.07317072</x:v>
      </x:c>
      <x:c r="I142" s="208" t="n">
        <x:f>I141*($B$88-$C$88)-I140*$G$88-$H$88</x:f>
        <x:v>-87799385.86918727</x:v>
      </x:c>
      <x:c r="J142" s="208" t="n">
        <x:f>J141*($B$88-$C$88)-J140*$G$88-$H$88</x:f>
        <x:v>-67451794.3795985</x:v>
      </x:c>
      <x:c r="K142" s="208" t="n">
        <x:f>K141*($B$88-$C$88)-K140*$G$88-$H$88</x:f>
        <x:v>-46840013.55076747</x:v>
      </x:c>
      <x:c r="L142" s="208" t="n">
        <x:f>L141*($B$88-$C$88)-L140*$G$88-$H$88</x:f>
        <x:v>-25916940.355146393</x:v>
      </x:c>
      <x:c r="M142" s="208" t="n">
        <x:f>M141*($B$88-$C$88)-M140*$G$88-$H$88</x:f>
        <x:v>-4634641.824036419</x:v>
      </x:c>
      <x:c r="N142" s="208" t="n">
        <x:f>N141*($B$88-$C$88)-N140*$G$88-$H$88</x:f>
        <x:v>17055755.083930016</x:v>
      </x:c>
      <x:c r="O142" s="208" t="n">
        <x:f>O141*($B$88-$C$88)-O140*$G$88-$H$88</x:f>
        <x:v>39204176.03233218</x:v>
      </x:c>
      <x:c r="P142" s="208" t="n">
        <x:f>P141*($B$88-$C$88)-P140*$G$88-$H$88</x:f>
        <x:v>61861714.534415185</x:v>
      </x:c>
      <x:c r="Q142" s="208" t="n">
        <x:f>Q141*($B$88-$C$88)-Q140*$G$88-$H$88</x:f>
        <x:v>85080750.12508142</x:v>
      </x:c>
      <x:c r="R142" s="208" t="n">
        <x:f>R141*($B$88-$C$88)-R140*$G$88-$H$88</x:f>
        <x:v>108915069.75140333</x:v>
      </x:c>
      <x:c r="S142" s="208" t="n">
        <x:f>S141*($B$88-$C$88)-S140*$G$88-$H$88</x:f>
        <x:v>133419992.66363841</x:v>
      </x:c>
      <x:c r="T142" s="208" t="n">
        <x:f>T141*($B$88-$C$88)-T140*$G$88-$H$88</x:f>
        <x:v>158652499.09737527</x:v>
      </x:c>
      <x:c r="U142" s="208" t="n">
        <x:f>U141*($B$88-$C$88)-U140*$G$88-$H$88</x:f>
        <x:v>184671363.0467739</x:v>
      </x:c>
      <x:c r="V142" s="208" t="n">
        <x:f>V141*($B$88-$C$88)-V140*$G$88-$H$88</x:f>
        <x:v>211537289.4388888</x:v>
      </x:c>
      <x:c r="W142" s="208" t="n">
        <x:f>W141*($B$88-$C$88)-W140*$G$88-$H$88</x:f>
        <x:v>239313056.02981937</x:v>
      </x:c>
      <x:c r="X142" s="208" t="n">
        <x:f>X141*($B$88-$C$88)-X140*$G$88-$H$88</x:f>
        <x:v>268063660.35494202</x:v>
      </x:c>
      <x:c r="Y142" s="208" t="n">
        <x:f>Y141*($B$88-$C$88)-Y140*$G$88-$H$88</x:f>
        <x:v>297856472.07775754</x:v>
      </x:c>
      <x:c r="Z142" s="208" t="n">
        <x:f>Z141*($B$88-$C$88)-Z140*$G$88-$H$88</x:f>
        <x:v>328761391.0949858</x:v>
      </x:c>
    </x:row>
    <x:row r="143" s="112" customFormat="1" ht="15" hidden="1" customHeight="1">
      <x:c r="A143" s="207" t="inlineStr">
        <x:is>
          <x:t xml:space="preserve">KB8 · Tiền mặt cuối kỳ</x:t>
        </x:is>
      </x:c>
      <x:c r="B143" s="208" t="n">
        <x:f>$J$88+B142</x:f>
        <x:v>2400000000</x:v>
      </x:c>
      <x:c r="C143" s="208" t="n">
        <x:f>B143+C142</x:f>
        <x:v>2193103010</x:v>
      </x:c>
      <x:c r="D143" s="208" t="n">
        <x:f>C143+D142</x:f>
        <x:v>2005924545.05</x:v>
      </x:c>
      <x:c r="E143" s="208" t="n">
        <x:f>D143+E142</x:f>
        <x:v>1838457679.54775</x:v>
      </x:c>
      <x:c r="F143" s="208" t="n">
        <x:f>E143+F142</x:f>
        <x:v>1690739819.9443512</x:v>
      </x:c>
      <x:c r="G143" s="208" t="n">
        <x:f>F143+G142</x:f>
        <x:v>1562852910.8219178</x:v>
      </x:c>
      <x:c r="H143" s="208" t="n">
        <x:f>G143+H142</x:f>
        <x:v>1454923741.748747</x:v>
      </x:c>
      <x:c r="I143" s="208" t="n">
        <x:f>H143+I142</x:f>
        <x:v>1367124355.8795598</x:v>
      </x:c>
      <x:c r="J143" s="208" t="n">
        <x:f>I143+J142</x:f>
        <x:v>1299672561.4999614</x:v>
      </x:c>
      <x:c r="K143" s="208" t="n">
        <x:f>J143+K142</x:f>
        <x:v>1252832547.949194</x:v>
      </x:c>
      <x:c r="L143" s="208" t="n">
        <x:f>K143+L142</x:f>
        <x:v>1226915607.5940475</x:v>
      </x:c>
      <x:c r="M143" s="208" t="n">
        <x:f>L143+M142</x:f>
        <x:v>1222280965.7700112</x:v>
      </x:c>
      <x:c r="N143" s="208" t="n">
        <x:f>M143+N142</x:f>
        <x:v>1239336720.8539412</x:v>
      </x:c>
      <x:c r="O143" s="208" t="n">
        <x:f>N143+O142</x:f>
        <x:v>1278540896.8862734</x:v>
      </x:c>
      <x:c r="P143" s="208" t="n">
        <x:f>O143+P142</x:f>
        <x:v>1340402611.4206886</x:v>
      </x:c>
      <x:c r="Q143" s="208" t="n">
        <x:f>P143+Q142</x:f>
        <x:v>1425483361.5457702</x:v>
      </x:c>
      <x:c r="R143" s="208" t="n">
        <x:f>Q143+R142</x:f>
        <x:v>1534398431.2971735</x:v>
      </x:c>
      <x:c r="S143" s="208" t="n">
        <x:f>R143+S142</x:f>
        <x:v>1667818423.9608119</x:v>
      </x:c>
      <x:c r="T143" s="208" t="n">
        <x:f>S143+T142</x:f>
        <x:v>1826470923.058187</x:v>
      </x:c>
      <x:c r="U143" s="208" t="n">
        <x:f>T143+U142</x:f>
        <x:v>2011142286.104961</x:v>
      </x:c>
      <x:c r="V143" s="208" t="n">
        <x:f>U143+V142</x:f>
        <x:v>2222679575.54385</x:v>
      </x:c>
      <x:c r="W143" s="208" t="n">
        <x:f>V143+W142</x:f>
        <x:v>2461992631.5736694</x:v>
      </x:c>
      <x:c r="X143" s="208" t="n">
        <x:f>W143+X142</x:f>
        <x:v>2730056291.9286113</x:v>
      </x:c>
      <x:c r="Y143" s="208" t="n">
        <x:f>X143+Y142</x:f>
        <x:v>3027912764.0063686</x:v>
      </x:c>
      <x:c r="Z143" s="208" t="n">
        <x:f>Y143+Z142</x:f>
        <x:v>3356674155.1013546</x:v>
      </x:c>
    </x:row>
    <x:row r="144" s="112" customFormat="1" ht="15" hidden="1" customHeight="1">
      <x:c r="A144" s="207" t="inlineStr">
        <x:is>
          <x:t xml:space="preserve">KB8 · Dòng tiền lũy kế</x:t>
        </x:is>
      </x:c>
      <x:c r="B144" s="208" t="n">
        <x:f>B142</x:f>
        <x:v>-600000000</x:v>
      </x:c>
      <x:c r="C144" s="208" t="n">
        <x:f>B144+C142</x:f>
        <x:v>-806896990</x:v>
      </x:c>
      <x:c r="D144" s="208" t="n">
        <x:f>C144+D142</x:f>
        <x:v>-994075454.95</x:v>
      </x:c>
      <x:c r="E144" s="208" t="n">
        <x:f>D144+E142</x:f>
        <x:v>-1161542320.45225</x:v>
      </x:c>
      <x:c r="F144" s="208" t="n">
        <x:f>E144+F142</x:f>
        <x:v>-1309260180.0556488</x:v>
      </x:c>
      <x:c r="G144" s="208" t="n">
        <x:f>F144+G142</x:f>
        <x:v>-1437147089.1780822</x:v>
      </x:c>
      <x:c r="H144" s="208" t="n">
        <x:f>G144+H142</x:f>
        <x:v>-1545076258.251253</x:v>
      </x:c>
      <x:c r="I144" s="208" t="n">
        <x:f>H144+I142</x:f>
        <x:v>-1632875644.1204402</x:v>
      </x:c>
      <x:c r="J144" s="208" t="n">
        <x:f>I144+J142</x:f>
        <x:v>-1700327438.5000386</x:v>
      </x:c>
      <x:c r="K144" s="208" t="n">
        <x:f>J144+K142</x:f>
        <x:v>-1747167452.050806</x:v>
      </x:c>
      <x:c r="L144" s="208" t="n">
        <x:f>K144+L142</x:f>
        <x:v>-1773084392.4059525</x:v>
      </x:c>
      <x:c r="M144" s="208" t="n">
        <x:f>L144+M142</x:f>
        <x:v>-1777719034.2299888</x:v>
      </x:c>
      <x:c r="N144" s="208" t="n">
        <x:f>M144+N142</x:f>
        <x:v>-1760663279.1460588</x:v>
      </x:c>
      <x:c r="O144" s="208" t="n">
        <x:f>N144+O142</x:f>
        <x:v>-1721459103.1137266</x:v>
      </x:c>
      <x:c r="P144" s="208" t="n">
        <x:f>O144+P142</x:f>
        <x:v>-1659597388.5793114</x:v>
      </x:c>
      <x:c r="Q144" s="208" t="n">
        <x:f>P144+Q142</x:f>
        <x:v>-1574516638.4542298</x:v>
      </x:c>
      <x:c r="R144" s="208" t="n">
        <x:f>Q144+R142</x:f>
        <x:v>-1465601568.7028265</x:v>
      </x:c>
      <x:c r="S144" s="208" t="n">
        <x:f>R144+S142</x:f>
        <x:v>-1332181576.0391881</x:v>
      </x:c>
      <x:c r="T144" s="208" t="n">
        <x:f>S144+T142</x:f>
        <x:v>-1173529076.941813</x:v>
      </x:c>
      <x:c r="U144" s="208" t="n">
        <x:f>T144+U142</x:f>
        <x:v>-988857713.8950391</x:v>
      </x:c>
      <x:c r="V144" s="208" t="n">
        <x:f>U144+V142</x:f>
        <x:v>-777320424.4561503</x:v>
      </x:c>
      <x:c r="W144" s="208" t="n">
        <x:f>V144+W142</x:f>
        <x:v>-538007368.4263309</x:v>
      </x:c>
      <x:c r="X144" s="208" t="n">
        <x:f>W144+X142</x:f>
        <x:v>-269943708.0713889</x:v>
      </x:c>
      <x:c r="Y144" s="208" t="n">
        <x:f>X144+Y142</x:f>
        <x:v>27912764.006368637</x:v>
      </x:c>
      <x:c r="Z144" s="208" t="n">
        <x:f>Y144+Z142</x:f>
        <x:v>356674155.1013544</x:v>
      </x:c>
    </x:row>
    <x:row r="145" s="112" customFormat="1" ht="15" hidden="1" customHeight="1"/>
  </x:sheetData>
  <x:mergeCells>
    <x:mergeCell ref="E73:H73"/>
    <x:mergeCell ref="E74:H74"/>
    <x:mergeCell ref="E76:H76"/>
    <x:mergeCell ref="E72:H72"/>
    <x:mergeCell ref="E77:H77"/>
    <x:mergeCell ref="E71:H71"/>
    <x:mergeCell ref="E75:H75"/>
  </x:mergeCells>
  <x:conditionalFormatting sqref="A58:H64">
    <x:cfRule type="expression" dxfId="0" priority="2" aboveAverage="0" percent="0" bottom="0" rank="0" equalAverage="0">
      <x:formula>$H58=1</x:formula>
    </x:cfRule>
  </x:conditionalFormatting>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baseColWidth="8" defaultColWidth="8.6796875" defaultRowHeight="15"/>
  <x:cols>
    <x:col min="1" max="1" width="48" style="111" customWidth="1"/>
    <x:col min="2" max="4" width="18" style="111" customWidth="1"/>
    <x:col min="5" max="5" width="15" style="111" customWidth="1"/>
    <x:col min="6" max="6" width="40" style="111" customWidth="1"/>
    <x:col min="7" max="7" width="52" style="111" customWidth="1"/>
  </x:cols>
  <x:sheetData>
    <x:row r="1" s="112" customFormat="1" ht="17.25" customHeight="1">
      <x:c r="A1" s="113" t="str">
        <x:v>6 · Không áp dụng cho ChấmNhanh</x:v>
      </x:c>
    </x:row>
    <x:row r="2" s="112" customFormat="1" ht="15" customHeight="1">
      <x:c r="A2" s="120" t="str">
        <x:v>ChấmNhanh bán cho trung tâm ngoại ngữ; hiệu quả đã được tính ở sheet 1–5.</x:v>
      </x:c>
    </x:row>
    <x:row r="3" s="112" customFormat="1" ht="15" customHeight="1">
      <x:c r="A3" s="211" t="inlineStr">
        <x:is>
          <x:t xml:space="preserve">Lưu ý: giờ tiết kiệm chỉ thành tiền khi được dùng vào việc khác hoặc giúp giảm tuyển mới. Nếu không, chỉ ghi phần đo được ở dòng 9 và nói rõ lý do.</x:t>
        </x:is>
      </x:c>
    </x:row>
    <x:row r="4" s="112" customFormat="1" ht="15" customHeight="1">
      <x:c r="A4" s="125" t="inlineStr">
        <x:is>
          <x:t xml:space="preserve">Giả định</x:t>
        </x:is>
      </x:c>
      <x:c r="B4" s="125" t="inlineStr">
        <x:is>
          <x:t xml:space="preserve">Lạc quan</x:t>
        </x:is>
      </x:c>
      <x:c r="C4" s="125" t="inlineStr">
        <x:is>
          <x:t xml:space="preserve">Cơ sở</x:t>
        </x:is>
      </x:c>
      <x:c r="D4" s="125" t="inlineStr">
        <x:is>
          <x:t xml:space="preserve">Xấu</x:t>
        </x:is>
      </x:c>
      <x:c r="E4" s="125" t="inlineStr">
        <x:is>
          <x:t xml:space="preserve">Đơn vị</x:t>
        </x:is>
      </x:c>
      <x:c r="F4" s="125" t="inlineStr">
        <x:is>
          <x:t xml:space="preserve">Nguồn / lý do</x:t>
        </x:is>
      </x:c>
      <x:c r="G4" s="125" t="inlineStr">
        <x:is>
          <x:t xml:space="preserve">Gợi ý · bản mẫu (Lạc quan / Cơ sở / Xấu)</x:t>
        </x:is>
      </x:c>
    </x:row>
    <x:row r="5" s="112" customFormat="1" ht="15.75" customHeight="1">
      <x:c r="A5" s="151" t="inlineStr">
        <x:is>
          <x:t xml:space="preserve">Số nhân sự dùng công cụ</x:t>
        </x:is>
      </x:c>
      <x:c r="B5" s="212" t="n"/>
      <x:c r="C5" s="212" t="n"/>
      <x:c r="D5" s="212" t="n"/>
      <x:c r="E5" s="153" t="inlineStr">
        <x:is>
          <x:t xml:space="preserve">người</x:t>
        </x:is>
      </x:c>
      <x:c r="F5" s="181" t="n"/>
      <x:c r="G5" s="155"/>
    </x:row>
    <x:row r="6" s="112" customFormat="1" ht="31.5" customHeight="1">
      <x:c r="A6" s="176" t="inlineStr">
        <x:is>
          <x:t xml:space="preserve">Giờ tiết kiệm / người / tuần (chỉ tính giờ được dùng vào việc khác hoặc giúp giảm tuyển)</x:t>
        </x:is>
      </x:c>
      <x:c r="B6" s="212" t="n"/>
      <x:c r="C6" s="212" t="n"/>
      <x:c r="D6" s="212" t="n"/>
      <x:c r="E6" s="153" t="inlineStr">
        <x:is>
          <x:t xml:space="preserve">giờ</x:t>
        </x:is>
      </x:c>
      <x:c r="F6" s="181" t="n"/>
      <x:c r="G6" s="155"/>
    </x:row>
    <x:row r="7" s="112" customFormat="1" ht="30" customHeight="1">
      <x:c r="A7" s="151" t="inlineStr">
        <x:is>
          <x:t xml:space="preserve">Tỷ lệ người dùng thật</x:t>
        </x:is>
      </x:c>
      <x:c r="B7" s="157" t="n"/>
      <x:c r="C7" s="157" t="n"/>
      <x:c r="D7" s="157" t="n"/>
      <x:c r="E7" s="153" t="inlineStr">
        <x:is>
          <x:t xml:space="preserve">%</x:t>
        </x:is>
      </x:c>
      <x:c r="F7" s="181" t="n"/>
      <x:c r="G7" s="155"/>
    </x:row>
    <x:row r="8" s="112" customFormat="1" ht="15.75" customHeight="1">
      <x:c r="A8" s="151" t="inlineStr">
        <x:is>
          <x:t xml:space="preserve">Chi phí 1 giờ công (gồm phúc lợi)</x:t>
        </x:is>
      </x:c>
      <x:c r="B8" s="180" t="n"/>
      <x:c r="C8" s="180" t="n"/>
      <x:c r="D8" s="180" t="n"/>
      <x:c r="E8" s="153" t="inlineStr">
        <x:is>
          <x:t xml:space="preserve">VND / giờ</x:t>
        </x:is>
      </x:c>
      <x:c r="F8" s="181" t="n"/>
      <x:c r="G8" s="155"/>
    </x:row>
    <x:row r="9" s="112" customFormat="1" ht="15.75" customHeight="1">
      <x:c r="A9" s="151" t="inlineStr">
        <x:is>
          <x:t xml:space="preserve">Giá trị khác / tháng (doanh thu tăng, giảm lỗi…)</x:t>
        </x:is>
      </x:c>
      <x:c r="B9" s="180" t="n"/>
      <x:c r="C9" s="180" t="n"/>
      <x:c r="D9" s="180" t="n"/>
      <x:c r="E9" s="153" t="inlineStr">
        <x:is>
          <x:t xml:space="preserve">VND / tháng</x:t>
        </x:is>
      </x:c>
      <x:c r="F9" s="181" t="n"/>
      <x:c r="G9" s="155"/>
    </x:row>
    <x:row r="10" s="112" customFormat="1" ht="15.75" customHeight="1">
      <x:c r="A10" s="151" t="inlineStr">
        <x:is>
          <x:t xml:space="preserve">Chi phí xây dựng một lần</x:t>
        </x:is>
      </x:c>
      <x:c r="B10" s="180" t="n"/>
      <x:c r="C10" s="180" t="n"/>
      <x:c r="D10" s="180" t="n"/>
      <x:c r="E10" s="153" t="inlineStr">
        <x:is>
          <x:t xml:space="preserve">VND (một lần)</x:t>
        </x:is>
      </x:c>
      <x:c r="F10" s="181" t="n"/>
      <x:c r="G10" s="155"/>
    </x:row>
    <x:row r="11" s="112" customFormat="1" ht="15.75" customHeight="1">
      <x:c r="A11" s="151" t="inlineStr">
        <x:is>
          <x:t xml:space="preserve">Chi phí thay đổi quy trình &amp; đào tạo (một lần)</x:t>
        </x:is>
      </x:c>
      <x:c r="B11" s="180" t="n"/>
      <x:c r="C11" s="180" t="n"/>
      <x:c r="D11" s="180" t="n"/>
      <x:c r="E11" s="153" t="inlineStr">
        <x:is>
          <x:t xml:space="preserve">VND (một lần)</x:t>
        </x:is>
      </x:c>
      <x:c r="F11" s="181" t="n"/>
      <x:c r="G11" s="155"/>
    </x:row>
    <x:row r="12" s="112" customFormat="1" ht="15.75" customHeight="1">
      <x:c r="A12" s="151" t="inlineStr">
        <x:is>
          <x:t xml:space="preserve">Chi phí vận hành / tháng (API, hạ tầng, bảo trì)</x:t>
        </x:is>
      </x:c>
      <x:c r="B12" s="180" t="n"/>
      <x:c r="C12" s="180" t="n"/>
      <x:c r="D12" s="180" t="n"/>
      <x:c r="E12" s="153" t="inlineStr">
        <x:is>
          <x:t xml:space="preserve">VND / tháng</x:t>
        </x:is>
      </x:c>
      <x:c r="F12" s="181" t="n"/>
      <x:c r="G12" s="155"/>
    </x:row>
    <x:row r="13" s="112" customFormat="1" ht="15" customHeight="1">
      <x:c r="A13" s="151" t="inlineStr">
        <x:is>
          <x:t xml:space="preserve">Lãi suất chiết khấu / năm</x:t>
        </x:is>
      </x:c>
      <x:c r="B13" s="157" t="n">
        <x:v>0.15</x:v>
      </x:c>
      <x:c r="C13" s="157" t="n">
        <x:v>0.15</x:v>
      </x:c>
      <x:c r="D13" s="157" t="n">
        <x:v>0.15</x:v>
      </x:c>
      <x:c r="E13" s="153" t="inlineStr">
        <x:is>
          <x:t xml:space="preserve">%</x:t>
        </x:is>
      </x:c>
      <x:c r="F13" s="181" t="inlineStr">
        <x:is>
          <x:t xml:space="preserve">Giả định của lớp: chi phí vốn</x:t>
        </x:is>
      </x:c>
      <x:c r="G13" s="153" t="n"/>
    </x:row>
    <x:row r="15" s="112" customFormat="1" ht="26.25" customHeight="1">
      <x:c r="A15" s="125" t="inlineStr">
        <x:is>
          <x:t xml:space="preserve">Kết quả</x:t>
        </x:is>
      </x:c>
      <x:c r="B15" s="125" t="inlineStr">
        <x:is>
          <x:t xml:space="preserve">Lạc quan</x:t>
        </x:is>
      </x:c>
      <x:c r="C15" s="125" t="inlineStr">
        <x:is>
          <x:t xml:space="preserve">Cơ sở</x:t>
        </x:is>
      </x:c>
      <x:c r="D15" s="125" t="inlineStr">
        <x:is>
          <x:t xml:space="preserve">Xấu</x:t>
        </x:is>
      </x:c>
      <x:c r="E15" s="125" t="inlineStr">
        <x:is>
          <x:t xml:space="preserve">Ngưỡng tham khảo</x:t>
        </x:is>
      </x:c>
    </x:row>
    <x:row r="16" s="112" customFormat="1" ht="15" customHeight="1">
      <x:c r="A16" s="158" t="inlineStr">
        <x:is>
          <x:t xml:space="preserve">Giá trị tạo ra / tháng</x:t>
        </x:is>
      </x:c>
      <x:c r="B16" s="159" t="n">
        <x:f>B5*B6*52/12*B7*B8+B9</x:f>
        <x:v>0</x:v>
      </x:c>
      <x:c r="C16" s="159" t="n">
        <x:f>C5*C6*52/12*C7*C8+C9</x:f>
        <x:v>0</x:v>
      </x:c>
      <x:c r="D16" s="159" t="n">
        <x:f>D5*D6*52/12*D7*D8+D9</x:f>
        <x:v>0</x:v>
      </x:c>
    </x:row>
    <x:row r="17" s="112" customFormat="1" ht="15" customHeight="1">
      <x:c r="A17" s="158" t="inlineStr">
        <x:is>
          <x:t xml:space="preserve">Lợi ích ròng / tháng</x:t>
        </x:is>
      </x:c>
      <x:c r="B17" s="159" t="n">
        <x:f>B16-B12</x:f>
        <x:v>0</x:v>
      </x:c>
      <x:c r="C17" s="159" t="n">
        <x:f>C16-C12</x:f>
        <x:v>0</x:v>
      </x:c>
      <x:c r="D17" s="159" t="n">
        <x:f>D16-D12</x:f>
        <x:v>0</x:v>
      </x:c>
      <x:c r="E17" s="111" t="inlineStr">
        <x:is>
          <x:t xml:space="preserve">&gt; 0</x:t>
        </x:is>
      </x:c>
    </x:row>
    <x:row r="18" s="112" customFormat="1" ht="15" customHeight="1">
      <x:c r="A18" s="158" t="inlineStr">
        <x:is>
          <x:t xml:space="preserve">Đầu tư một lần</x:t>
        </x:is>
      </x:c>
      <x:c r="B18" s="159" t="n">
        <x:f>B10+B11</x:f>
        <x:v>0</x:v>
      </x:c>
      <x:c r="C18" s="159" t="n">
        <x:f>C10+C11</x:f>
        <x:v>0</x:v>
      </x:c>
      <x:c r="D18" s="159" t="n">
        <x:f>D10+D11</x:f>
        <x:v>0</x:v>
      </x:c>
    </x:row>
    <x:row r="19" s="112" customFormat="1" ht="15" customHeight="1">
      <x:c r="A19" s="158" t="inlineStr">
        <x:is>
          <x:t xml:space="preserve">Thời gian hoàn vốn</x:t>
        </x:is>
      </x:c>
      <x:c r="B19" s="213" t="str">
        <x:f>IF(B5=0,"Chưa điền",IF(B17&gt;0,B18/B17,"Không hoàn vốn"))</x:f>
        <x:v>Chưa điền</x:v>
      </x:c>
      <x:c r="C19" s="213" t="str">
        <x:f>IF(C5=0,"Chưa điền",IF(C17&gt;0,C18/C17,"Không hoàn vốn"))</x:f>
        <x:v>Chưa điền</x:v>
      </x:c>
      <x:c r="D19" s="213" t="str">
        <x:f>IF(D5=0,"Chưa điền",IF(D17&gt;0,D18/D17,"Không hoàn vốn"))</x:f>
        <x:v>Chưa điền</x:v>
      </x:c>
      <x:c r="E19" s="111" t="inlineStr">
        <x:is>
          <x:t xml:space="preserve">&lt; 12 tháng</x:t>
        </x:is>
      </x:c>
    </x:row>
    <x:row r="20" s="112" customFormat="1" ht="15" customHeight="1">
      <x:c r="A20" s="158" t="inlineStr">
        <x:is>
          <x:t xml:space="preserve">Hiệu quả đầu tư sau 12 tháng (ROI)</x:t>
        </x:is>
      </x:c>
      <x:c r="B20" s="161" t="n">
        <x:f>IFERROR((12*B17-B18)/B18,0)</x:f>
        <x:v>0</x:v>
      </x:c>
      <x:c r="C20" s="161" t="n">
        <x:f>IFERROR((12*C17-C18)/C18,0)</x:f>
        <x:v>0</x:v>
      </x:c>
      <x:c r="D20" s="161" t="n">
        <x:f>IFERROR((12*D17-D18)/D18,0)</x:f>
        <x:v>0</x:v>
      </x:c>
      <x:c r="E20" s="111" t="inlineStr">
        <x:is>
          <x:t xml:space="preserve">&gt; 0</x:t>
        </x:is>
      </x:c>
    </x:row>
    <x:row r="21" s="112" customFormat="1" ht="15" customHeight="1">
      <x:c r="A21" s="158" t="inlineStr">
        <x:is>
          <x:t xml:space="preserve">Giá trị hiện tại ròng 24 tháng</x:t>
        </x:is>
      </x:c>
      <x:c r="B21" s="160" t="n">
        <x:f>PV(B13/12,24,-B17)-B18</x:f>
        <x:v>0</x:v>
      </x:c>
      <x:c r="C21" s="160" t="n">
        <x:f>PV(C13/12,24,-C17)-C18</x:f>
        <x:v>0</x:v>
      </x:c>
      <x:c r="D21" s="160" t="n">
        <x:f>PV(D13/12,24,-D17)-D18</x:f>
        <x:v>0</x:v>
      </x:c>
      <x:c r="E21" s="111" t="inlineStr">
        <x:is>
          <x:t xml:space="preserve">&gt; 0</x:t>
        </x:is>
      </x:c>
    </x:row>
    <x:row r="22" s="112" customFormat="1" ht="15" customHeight="1">
      <x:c r="A22" s="158" t="inlineStr">
        <x:is>
          <x:t xml:space="preserve">Đánh giá nhanh</x:t>
        </x:is>
      </x:c>
      <x:c r="B22" s="184" t="str">
        <x:f>IF(B5=0,"Chưa điền",IF(NOT(ISNUMBER(B19)),"Dừng",IF(B19&lt;12,"Làm","Thử nghiệm nhỏ")))</x:f>
        <x:v>Chưa điền</x:v>
      </x:c>
      <x:c r="C22" s="184" t="str">
        <x:f>IF(C5=0,"Chưa điền",IF(NOT(ISNUMBER(C19)),"Dừng",IF(C19&lt;12,"Làm","Thử nghiệm nhỏ")))</x:f>
        <x:v>Chưa điền</x:v>
      </x:c>
      <x:c r="D22" s="184" t="str">
        <x:f>IF(D5=0,"Chưa điền",IF(NOT(ISNUMBER(D19)),"Dừng",IF(D19&lt;12,"Làm","Thử nghiệm nhỏ")))</x:f>
        <x:v>Chưa điền</x:v>
      </x:c>
      <x:c r="E22" s="162" t="inlineStr">
        <x:is>
          <x:t xml:space="preserve">Hoàn vốn dưới 12 tháng: Làm · hoàn vốn được nhưng chậm: thử ở 1 phòng ban để đo tỷ lệ người dùng thật · không hoàn vốn: Dừng</x:t>
        </x:is>
      </x:c>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baseColWidth="8" defaultColWidth="8.6796875" defaultRowHeight="15"/>
  <x:cols>
    <x:col min="1" max="1" width="60" style="111" customWidth="1"/>
    <x:col min="2" max="2" width="24" style="111" customWidth="1"/>
    <x:col min="3" max="3" width="26" style="111" customWidth="1"/>
  </x:cols>
  <x:sheetData>
    <x:row r="1" s="112" customFormat="1" ht="17.25" customHeight="1">
      <x:c r="A1" s="113" t="str">
        <x:v>7 · Quyết định — ChấmNhanh đã hoàn thành</x:v>
      </x:c>
    </x:row>
    <x:row r="2" s="112" customFormat="1" ht="31.5" customHeight="1">
      <x:c r="A2" s="114" t="str">
        <x:v>Đã chốt quyết định thử nghiệm nhỏ, giá, biến nguy hiểm nhất, luật xử lý và mức cảnh báo.</x:v>
      </x:c>
    </x:row>
    <x:row r="4" s="112" customFormat="1" ht="15" customHeight="1">
      <x:c r="A4" s="125" t="inlineStr">
        <x:is>
          <x:t xml:space="preserve">Điểm kiểm tra</x:t>
        </x:is>
      </x:c>
      <x:c r="B4" s="125" t="inlineStr">
        <x:is>
          <x:t xml:space="preserve">Kết quả (cơ sở)</x:t>
        </x:is>
      </x:c>
      <x:c r="C4" s="125" t="inlineStr">
        <x:is>
          <x:t xml:space="preserve">Đạt?</x:t>
        </x:is>
      </x:c>
    </x:row>
    <x:row r="5" s="112" customFormat="1" ht="15" customHeight="1">
      <x:c r="A5" s="158" t="inlineStr">
        <x:is>
          <x:t xml:space="preserve">Phần chìm ≥ 30% chi phí gọi AI</x:t>
        </x:is>
      </x:c>
      <x:c r="B5" s="161" t="n">
        <x:f>'1_Chi phí mỗi việc'!B25</x:f>
        <x:v>1.1047598252139985</x:v>
      </x:c>
      <x:c r="C5" s="171" t="str">
        <x:f>IF(B5&gt;=0.3,"Đạt","Xem lại")</x:f>
        <x:v>Đạt</x:v>
      </x:c>
    </x:row>
    <x:row r="6" s="112" customFormat="1" ht="15" customHeight="1">
      <x:c r="A6" s="158" t="inlineStr">
        <x:is>
          <x:t xml:space="preserve">Biên lợi nhuận gộp bình quân ≥ 60% (gói kết hợp)</x:t>
        </x:is>
      </x:c>
      <x:c r="B6" s="161" t="n">
        <x:f>'4_Chỉ số mỗi khách'!C7</x:f>
        <x:v>0.6891750479846449</x:v>
      </x:c>
      <x:c r="C6" s="171" t="str">
        <x:f>IF(B6&gt;=0.6,"Đạt","Xem lại")</x:f>
        <x:v>Đạt</x:v>
      </x:c>
    </x:row>
    <x:row r="7" s="112" customFormat="1" ht="15" customHeight="1">
      <x:c r="A7" s="158" t="inlineStr">
        <x:is>
          <x:t xml:space="preserve">LTV ÷ CAC &gt; 3 (cơ sở)</x:t>
        </x:is>
      </x:c>
      <x:c r="B7" s="214" t="n">
        <x:f>'4_Chỉ số mỗi khách'!C11</x:f>
        <x:v>11.398736507936507</x:v>
      </x:c>
      <x:c r="C7" s="171" t="str">
        <x:f>IF(B7&gt;3,"Đạt","Xem lại")</x:f>
        <x:v>Đạt</x:v>
      </x:c>
    </x:row>
    <x:row r="8" s="112" customFormat="1" ht="15" customHeight="1">
      <x:c r="A8" s="158" t="inlineStr">
        <x:is>
          <x:t xml:space="preserve">Hoàn vốn chi phí có khách &lt; 12 tháng (cơ sở)</x:t>
        </x:is>
      </x:c>
      <x:c r="B8" s="182" t="n">
        <x:f>'4_Chỉ số mỗi khách'!C12</x:f>
        <x:v>1.94953381076488</x:v>
      </x:c>
      <x:c r="C8" s="171" t="str">
        <x:f>IF(AND(B8&gt;0,B8&lt;12),"Đạt","Xem lại")</x:f>
        <x:v>Đạt</x:v>
      </x:c>
    </x:row>
    <x:row r="9" s="112" customFormat="1" ht="15" customHeight="1">
      <x:c r="A9" s="158" t="inlineStr">
        <x:is>
          <x:t xml:space="preserve">Kịch bản xấu: rời bỏ và chi phí có khách đủ sốc (≥ 1,5 lần)</x:t>
        </x:is>
      </x:c>
      <x:c r="B9" s="171" t="str">
        <x:f>IF(AND('3_Giả định'!C9&gt;0,'3_Giả định'!C10&gt;0,'3_Giả định'!D9&gt;=1.5*'3_Giả định'!C9,'3_Giả định'!D10&gt;=1.5*'3_Giả định'!C10),"Có","Không")</x:f>
        <x:v>Có</x:v>
      </x:c>
      <x:c r="C9" s="171" t="str">
        <x:f>IF(B9="Có","Đạt","Xem lại")</x:f>
        <x:v>Đạt</x:v>
      </x:c>
    </x:row>
    <x:row r="10" s="112" customFormat="1" ht="15" customHeight="1">
      <x:c r="A10" s="158" t="inlineStr">
        <x:is>
          <x:t xml:space="preserve">Kịch bản xấu: tháng hết tiền</x:t>
        </x:is>
      </x:c>
      <x:c r="B10" s="189" t="n">
        <x:f>'5_Dòng tiền &amp; hiệu quả'!D47</x:f>
        <x:v>17</x:v>
      </x:c>
      <x:c r="C10" s="171" t="str">
        <x:f>IF(B10="Chưa điền","Chưa điền",IF(ISNUMBER(B10),IF(B10&gt;=12,"Đạt","Cần kế hoạch cắt giảm"),"Đạt"))</x:f>
        <x:v>Đạt</x:v>
      </x:c>
    </x:row>
    <x:row r="11" s="112" customFormat="1" ht="15" customHeight="1">
      <x:c r="A11" s="158" t="inlineStr">
        <x:is>
          <x:t xml:space="preserve">Giá trị hiện tại ròng 24 tháng (cơ sở)</x:t>
        </x:is>
      </x:c>
      <x:c r="B11" s="159" t="n">
        <x:f>'5_Dòng tiền &amp; hiệu quả'!C44</x:f>
        <x:v>3513140540.181813</x:v>
      </x:c>
      <x:c r="C11" s="171" t="str">
        <x:f>IF(B11&gt;0,"Đạt","Xem lại")</x:f>
        <x:v>Đạt</x:v>
      </x:c>
    </x:row>
    <x:row r="12" s="112" customFormat="1" ht="15" customHeight="1">
      <x:c r="A12" s="158" t="inlineStr">
        <x:is>
          <x:t xml:space="preserve">Biến nguy hiểm nhất (bảng độ nhạy, trang 5)</x:t>
        </x:is>
      </x:c>
      <x:c r="B12" s="171" t="str">
        <x:f>'5_Dòng tiền &amp; hiệu quả'!B66</x:f>
        <x:v>Doanh thu bình quân giảm</x:v>
      </x:c>
      <x:c r="C12" s="171" t="str">
        <x:f>IF(B12="Chưa đủ số liệu","Xem lại","Ghi vào câu 3")</x:f>
        <x:v>Ghi vào câu 3</x:v>
      </x:c>
    </x:row>
    <x:row r="13" s="112" customFormat="1" ht="16.5" customHeight="1">
      <x:c r="A13" s="215"/>
    </x:row>
    <x:row r="14" s="112" customFormat="1" ht="48.75" customHeight="1">
      <x:c r="A14" s="131"/>
    </x:row>
    <x:row r="15" s="112" customFormat="1" ht="48" customHeight="1">
      <x:c r="A15" s="163" t="str">
        <x:v>THỬ NGHIỆM NHỎ với 10 trung tâm trong 3 tháng. Cơ sở có NPV 3,51 tỷ đồng và LTV/CAC 11,40 lần, nhưng kịch bản xấu có NPV âm 3,23 tỷ đồng, hết tiền khoảng tháng 17; nếu khách lớn rời bỏ, NPV còn khoảng âm 58 triệu đồng. Chỉ mở rộng khi giữ được doanh thu bình quân 5,21 triệu đồng/trung tâm/tháng và biên sau chia ít nhất 55%.</x:v>
      </x:c>
      <x:c r="B15" s="216" t="n"/>
      <x:c r="C15" s="216" t="n"/>
    </x:row>
    <x:row r="17" s="112" customFormat="1" ht="18.75" customHeight="1">
      <x:c r="A17" s="131"/>
    </x:row>
    <x:row r="18" s="112" customFormat="1" ht="48" customHeight="1">
      <x:c r="A18" s="163" t="str">
        <x:v>Giữ gói kết hợp 3.900.000 đồng/tháng gồm 600 bài và 5.500 đồng/bài vượt hạn mức. Chi phí phục vụ là 1.619 đồng/bài; mô hình đắt vẫn cho biên trước chia 75,1% vì tính phí theo khối lượng, nhưng sau chia đối tác 20% biên còn 55,1%. Giá bằng 15,6% chi phí giáo viên ở khách thường và 57,4% ở khách lớn nên còn cơ sở để khách chấp nhận.</x:v>
      </x:c>
      <x:c r="B18" s="216" t="n"/>
      <x:c r="C18" s="216" t="n"/>
    </x:row>
    <x:row r="20" s="112" customFormat="1" ht="18.75" customHeight="1">
      <x:c r="A20" s="131"/>
    </x:row>
    <x:row r="21" s="112" customFormat="1" ht="48" customHeight="1">
      <x:c r="A21" s="163" t="str">
        <x:v>Biến nguy hiểm nhất là doanh thu bình quân giảm 20%, làm NPV giảm khoảng 2,91 tỷ đồng. Phụ trách tài chính theo dõi hằng tuần doanh thu bình quân mỗi trung tâm, số bài vượt hạn mức và tỷ trọng doanh thu từ trung tâm lớn; phụ trách khách hàng xác minh ngay nguyên nhân giảm hoặc trung tâm lớn rời bỏ.</x:v>
      </x:c>
      <x:c r="B21" s="216" t="n"/>
      <x:c r="C21" s="216" t="n"/>
    </x:row>
    <x:row r="23" s="112" customFormat="1" ht="63.75" customHeight="1">
      <x:c r="A23" s="131"/>
    </x:row>
    <x:row r="24" s="112" customFormat="1" ht="48" customHeight="1">
      <x:c r="A24" s="163" t="str">
        <x:v>NẾU doanh thu bình quân dưới 3.950.400 đồng/trung tâm/tháng hoặc biên gộp dưới 44,7% TRONG 2 tuần liên tiếp trên ít nhất 10 trung tâm, THÌ phụ trách tài chính dừng mở rộng và cùng phụ trách sản phẩm thiết kế lại gói, tỷ lệ chia và cơ cấu khách. KHÔNG THÌ không giảm phí vượt dưới 4.858 đồng/bài hoặc tăng chi quảng cáo để che cảnh báo.</x:v>
      </x:c>
      <x:c r="B24" s="216" t="n"/>
      <x:c r="C24" s="216" t="n"/>
    </x:row>
    <x:row r="26" s="112" customFormat="1" ht="33.75" customHeight="1">
      <x:c r="A26" s="131"/>
    </x:row>
    <x:row r="27" s="112" customFormat="1" ht="48" customHeight="1">
      <x:c r="A27" s="144" t="str">
        <x:v>Ghi mức tự tính vào bảng Ngày 23: doanh thu bình quân tối thiểu 3.950.400 đồng; biên gộp tối thiểu 44,7%; CAC tối đa 16.453.008 đồng (LTV/CAC 4,8); ít nhất 6 khách mới tháng đầu; chi phí cố định tối đa 330.340.409 đồng/tháng; chia đối tác tối đa 39,3%. Gắn nhãn NGUY khi vượt ngưỡng hòa vốn, ĐÁNG LO khi còn cách ngưỡng không quá 10%; phụ trách tài chính cập nhật hằng tuần.</x:v>
      </x:c>
      <x:c r="B27" s="145" t="n"/>
      <x:c r="C27" s="146" t="n"/>
    </x:row>
  </x:sheetData>
  <x:mergeCells>
    <x:mergeCell ref="A20:C20"/>
    <x:mergeCell ref="A13:C13"/>
    <x:mergeCell ref="A23:C23"/>
    <x:mergeCell ref="A14:C14"/>
    <x:mergeCell ref="A17:C17"/>
    <x:mergeCell ref="A18:C18"/>
    <x:mergeCell ref="A27:C27"/>
    <x:mergeCell ref="A21:C21"/>
    <x:mergeCell ref="A15:C15"/>
    <x:mergeCell ref="A26:C26"/>
    <x:mergeCell ref="A24:C24"/>
    <x:mergeCell ref="A2:C2"/>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baseColWidth="8" defaultColWidth="8.6796875" defaultRowHeight="15"/>
  <x:cols>
    <x:col min="1" max="1" width="28" style="111" customWidth="1"/>
    <x:col min="2" max="2" width="30" style="111" customWidth="1"/>
    <x:col min="3" max="3" width="80" style="111" customWidth="1"/>
    <x:col min="4" max="4" width="40" style="111" customWidth="1"/>
  </x:cols>
  <x:sheetData>
    <x:row r="1" s="112" customFormat="1" ht="17.25" customHeight="1">
      <x:c r="A1" s="113" t="inlineStr">
        <x:is>
          <x:t xml:space="preserve">8 · Thang điểm (100 điểm)</x:t>
        </x:is>
      </x:c>
    </x:row>
    <x:row r="2" s="112" customFormat="1" ht="15" customHeight="1">
      <x:c r="A2" s="120" t="inlineStr">
        <x:is>
          <x:t xml:space="preserve">Trừ điểm: số bịa không có nguồn, chỉ 1 kịch bản, nhầm doanh thu với lợi nhuận.</x:t>
        </x:is>
      </x:c>
    </x:row>
    <x:row r="4" s="112" customFormat="1" ht="15" customHeight="1">
      <x:c r="A4" s="125" t="inlineStr">
        <x:is>
          <x:t xml:space="preserve">Tiêu chí</x:t>
        </x:is>
      </x:c>
      <x:c r="B4" s="125" t="inlineStr">
        <x:is>
          <x:t xml:space="preserve">Điểm</x:t>
        </x:is>
      </x:c>
      <x:c r="C4" s="125" t="inlineStr">
        <x:is>
          <x:t xml:space="preserve">Bài đạt khi</x:t>
        </x:is>
      </x:c>
      <x:c r="D4" s="125" t="inlineStr">
        <x:is>
          <x:t xml:space="preserve">Điểm (giảng viên chấm, nhóm không điền)</x:t>
        </x:is>
      </x:c>
    </x:row>
    <x:row r="5" s="112" customFormat="1" ht="15" customHeight="1">
      <x:c r="A5" s="158" t="inlineStr">
        <x:is>
          <x:t xml:space="preserve">Bài tập tài chính căn bản</x:t>
        </x:is>
      </x:c>
      <x:c r="B5" s="111" t="n">
        <x:v>10</x:v>
      </x:c>
      <x:c r="C5" s="115" t="inlineStr">
        <x:is>
          <x:t xml:space="preserve">Ba báo cáo đúng và khớp: bảng cân đối cân, tiền cuối kỳ khớp, trả lời đúng câu 1–3</x:t>
        </x:is>
      </x:c>
      <x:c r="D5" s="217" t="n"/>
    </x:row>
    <x:row r="6" s="112" customFormat="1" ht="15" customHeight="1">
      <x:c r="A6" s="158" t="inlineStr">
        <x:is>
          <x:t xml:space="preserve">Chi phí mỗi việc đầy đủ</x:t>
        </x:is>
      </x:c>
      <x:c r="B6" s="111" t="n">
        <x:v>15</x:v>
      </x:c>
      <x:c r="C6" s="115" t="inlineStr">
        <x:is>
          <x:t xml:space="preserve">≥ 4 nhóm chi phí; chỉ gồm chi phí phục vụ (không lẫn R&amp;D, bán hàng); có tên mô hình và ngày tra giá</x:t>
        </x:is>
      </x:c>
      <x:c r="D6" s="217" t="n"/>
    </x:row>
    <x:row r="7" s="112" customFormat="1" ht="15" customHeight="1">
      <x:c r="A7" s="158" t="inlineStr">
        <x:is>
          <x:t xml:space="preserve">Giá sống được trong mô hình</x:t>
        </x:is>
      </x:c>
      <x:c r="B7" s="111" t="n">
        <x:v>15</x:v>
      </x:c>
      <x:c r="C7" s="115" t="inlineStr">
        <x:is>
          <x:t xml:space="preserve">Giá lấy từ bài Ngày 22 và qua ba phép thử: neo lương 50–70%, tiền AI của khách dùng nhiều, biên sau chia đối tác</x:t>
        </x:is>
      </x:c>
      <x:c r="D7" s="217" t="n"/>
    </x:row>
    <x:row r="8" s="112" customFormat="1" ht="15" customHeight="1">
      <x:c r="A8" s="158" t="inlineStr">
        <x:is>
          <x:t xml:space="preserve">Chỉ số trên mỗi khách</x:t>
        </x:is>
      </x:c>
      <x:c r="B8" s="111" t="n">
        <x:v>20</x:v>
      </x:c>
      <x:c r="C8" s="115" t="inlineStr">
        <x:is>
          <x:t xml:space="preserve">Công thức đúng; LTV tính trên lợi nhuận gộp; tỷ lệ rời bỏ và chi phí có khách có nguồn hoặc lý do rõ</x:t>
        </x:is>
      </x:c>
      <x:c r="D8" s="217" t="n"/>
    </x:row>
    <x:row r="9" s="112" customFormat="1" ht="15" customHeight="1">
      <x:c r="A9" s="158" t="inlineStr">
        <x:is>
          <x:t xml:space="preserve">3 kịch bản và độ nhạy</x:t>
        </x:is>
      </x:c>
      <x:c r="B9" s="111" t="n">
        <x:v>20</x:v>
      </x:c>
      <x:c r="C9" s="115" t="inlineStr">
        <x:is>
          <x:t xml:space="preserve">Kịch bản xấu là cú sốc thật; đọc bảng độ nhạy và chỉ ra biến số nguy hiểm nhất</x:t>
        </x:is>
      </x:c>
      <x:c r="D9" s="217" t="n"/>
    </x:row>
    <x:row r="10" s="112" customFormat="1" ht="15" customHeight="1">
      <x:c r="A10" s="158" t="inlineStr">
        <x:is>
          <x:t xml:space="preserve">Ghi chú quyết định và mức cảnh báo</x:t>
        </x:is>
      </x:c>
      <x:c r="B10" s="111" t="n">
        <x:v>20</x:v>
      </x:c>
      <x:c r="C10" s="115" t="inlineStr">
        <x:is>
          <x:t xml:space="preserve">Quyết định rõ, bảo vệ bằng số; luật xử lý theo khuôn Ngày 23; mức cảnh báo tự tính đưa vào bảng Ngày 23</x:t>
        </x:is>
      </x:c>
      <x:c r="D10" s="217" t="n"/>
    </x:row>
    <x:row r="11" s="112" customFormat="1" ht="15" customHeight="1">
      <x:c r="A11" s="116" t="inlineStr">
        <x:is>
          <x:t xml:space="preserve">TỔNG</x:t>
        </x:is>
      </x:c>
      <x:c r="B11" s="111" t="n">
        <x:f>SUM(B5:B10)</x:f>
        <x:v>100</x:v>
      </x:c>
      <x:c r="D11" s="171" t="n">
        <x:f>SUM(D5:D10)</x:f>
        <x:v>0</x:v>
      </x:c>
    </x:row>
    <x:row r="12" s="112" customFormat="1" ht="15" customHeight="1">
      <x:c r="A12" s="116" t="inlineStr">
        <x:is>
          <x:t xml:space="preserve">Điểm thưởng: dùng số thật từ buổi trước (trang 0)</x:t>
        </x:is>
      </x:c>
      <x:c r="B12" s="111" t="inlineStr">
        <x:is>
          <x:t xml:space="preserve">tối đa 10</x:t>
        </x:is>
      </x:c>
      <x:c r="C12" s="111" t="inlineStr">
        <x:is>
          <x:t xml:space="preserve">2 điểm/đầu vào đã có và thật sự được dùng; tổng điểm không quá 100</x:t>
        </x:is>
      </x:c>
      <x:c r="D12" s="217" t="n"/>
    </x:row>
    <x:row r="15" s="112" customFormat="1" ht="15" customHeight="1">
      <x:c r="A15" s="188" t="inlineStr">
        <x:is>
          <x:t xml:space="preserve">THANG ĐIỂM TRÌNH BÀY (1–5 điểm mỗi tiêu chí)</x:t>
        </x:is>
      </x:c>
    </x:row>
    <x:row r="16" s="112" customFormat="1" ht="15" customHeight="1">
      <x:c r="A16" s="125" t="inlineStr">
        <x:is>
          <x:t xml:space="preserve">Tiêu chí</x:t>
        </x:is>
      </x:c>
      <x:c r="B16" s="125" t="inlineStr">
        <x:is>
          <x:t xml:space="preserve">Mức 1</x:t>
        </x:is>
      </x:c>
      <x:c r="C16" s="125" t="inlineStr">
        <x:is>
          <x:t xml:space="preserve">Mức 3</x:t>
        </x:is>
      </x:c>
      <x:c r="D16" s="125" t="inlineStr">
        <x:is>
          <x:t xml:space="preserve">Mức 5</x:t>
        </x:is>
      </x:c>
    </x:row>
    <x:row r="17" s="112" customFormat="1" ht="45.75" customHeight="1">
      <x:c r="A17" s="131" t="inlineStr">
        <x:is>
          <x:t xml:space="preserve">Rõ ràng</x:t>
        </x:is>
      </x:c>
      <x:c r="B17" s="218" t="inlineStr">
        <x:is>
          <x:t xml:space="preserve">Câu đầu chưa có quyết định; người nghe phải đoán nhóm đề xuất gì</x:t>
        </x:is>
      </x:c>
      <x:c r="C17" s="218" t="inlineStr">
        <x:is>
          <x:t xml:space="preserve">Có quyết định nhưng nói sau phần mở đầu, hoặc thiếu giá bán</x:t>
        </x:is>
      </x:c>
      <x:c r="D17" s="218" t="inlineStr">
        <x:is>
          <x:t xml:space="preserve">Câu đầu tiên có quyết định, giá bán và 1 lý do</x:t>
        </x:is>
      </x:c>
    </x:row>
    <x:row r="18" s="112" customFormat="1" ht="45.75" customHeight="1">
      <x:c r="A18" s="131" t="inlineStr">
        <x:is>
          <x:t xml:space="preserve">Bằng chứng</x:t>
        </x:is>
      </x:c>
      <x:c r="B18" s="218" t="inlineStr">
        <x:is>
          <x:t xml:space="preserve">Con số không có nguồn, hoặc chỉ có kịch bản cơ sở</x:t>
        </x:is>
      </x:c>
      <x:c r="C18" s="218" t="inlineStr">
        <x:is>
          <x:t xml:space="preserve">Có số chính và nguồn, nhưng thiếu kịch bản xấu hoặc biến nguy hiểm nhất</x:t>
        </x:is>
      </x:c>
      <x:c r="D18" s="218" t="inlineStr">
        <x:is>
          <x:t xml:space="preserve">Đủ chi phí mỗi việc, biên lợi nhuận, LTV ÷ CAC, kịch bản xấu; số nào cũng có nguồn hoặc lý do</x:t>
        </x:is>
      </x:c>
    </x:row>
    <x:row r="19" s="112" customFormat="1" ht="45.75" customHeight="1">
      <x:c r="A19" s="131" t="inlineStr">
        <x:is>
          <x:t xml:space="preserve">Trả lời phản biện</x:t>
        </x:is>
      </x:c>
      <x:c r="B19" s="218" t="inlineStr">
        <x:is>
          <x:t xml:space="preserve">Né câu hỏi hoặc trả lời chung chung</x:t>
        </x:is>
      </x:c>
      <x:c r="C19" s="218" t="inlineStr">
        <x:is>
          <x:t xml:space="preserve">Trả lời đúng ý nhưng không dẫn số</x:t>
        </x:is>
      </x:c>
      <x:c r="D19" s="218" t="inlineStr">
        <x:is>
          <x:t xml:space="preserve">Trả lời thẳng, dẫn đúng con số trong file</x:t>
        </x:is>
      </x:c>
    </x:row>
    <x:row r="20" s="112" customFormat="1" ht="45.75" customHeight="1">
      <x:c r="A20" s="131" t="inlineStr">
        <x:is>
          <x:t xml:space="preserve">Đúng giờ</x:t>
        </x:is>
      </x:c>
      <x:c r="B20" s="218" t="inlineStr">
        <x:is>
          <x:t xml:space="preserve">Quá 4 phút</x:t>
        </x:is>
      </x:c>
      <x:c r="C20" s="218" t="inlineStr">
        <x:is>
          <x:t xml:space="preserve">Từ 3 đến 4 phút</x:t>
        </x:is>
      </x:c>
      <x:c r="D20" s="218" t="inlineStr">
        <x:is>
          <x:t xml:space="preserve">Không quá 3 phút</x:t>
        </x:is>
      </x:c>
    </x:row>
    <x:row r="22" s="112" customFormat="1" ht="15" customHeight="1">
      <x:c r="A22" s="162" t="inlineStr">
        <x:is>
          <x:t xml:space="preserve">Mức 2 và 4 dùng khi bài nằm giữa hai mô tả. Điểm buổi = 60% sản phẩm + 40% trình bày (60% giảng viên + 40% các nhóm khác chấm, không tự chấm nhóm mình).</x:t>
        </x:is>
      </x:c>
    </x:row>
  </x:sheetData>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baseColWidth="8" defaultColWidth="8.6796875" defaultRowHeight="15"/>
  <x:cols>
    <x:col min="1" max="1" width="44" style="111" customWidth="1"/>
    <x:col min="2" max="3" width="22" style="111" customWidth="1"/>
    <x:col min="4" max="4" width="70" style="111" customWidth="1"/>
    <x:col min="5" max="5" width="48" style="111" customWidth="1"/>
  </x:cols>
  <x:sheetData>
    <x:row r="1" s="112" customFormat="1" ht="15" customHeight="1">
      <x:c r="A1" s="188" t="inlineStr">
        <x:is>
          <x:t xml:space="preserve">9 · Số tham khảo đã kiểm chứng (tra ngày 04/10/2026)</x:t>
        </x:is>
      </x:c>
    </x:row>
    <x:row r="2" s="112" customFormat="1" ht="15" customHeight="1">
      <x:c r="A2" s="162" t="inlineStr">
        <x:is>
          <x:t xml:space="preserve">Giá thay đổi thường xuyên: trước khi dùng, mở lại đường dẫn và ghi ngày tra của nhóm. Số nào không có trong bảng, nhóm tự tìm nguồn hoặc ghi lý do.</x:t>
        </x:is>
      </x:c>
    </x:row>
    <x:row r="4" s="112" customFormat="1" ht="27.75" customHeight="1">
      <x:c r="A4" s="125" t="inlineStr">
        <x:is>
          <x:t xml:space="preserve">Mô hình AI</x:t>
        </x:is>
      </x:c>
      <x:c r="B4" s="125" t="inlineStr">
        <x:is>
          <x:t xml:space="preserve">Đầu vào (USD / 1 triệu token)</x:t>
        </x:is>
      </x:c>
      <x:c r="C4" s="125" t="inlineStr">
        <x:is>
          <x:t xml:space="preserve">Đầu ra (USD / 1 triệu token)</x:t>
        </x:is>
      </x:c>
      <x:c r="D4" s="125" t="inlineStr">
        <x:is>
          <x:t xml:space="preserve">Nguồn chính thức</x:t>
        </x:is>
      </x:c>
      <x:c r="E4" s="125" t="inlineStr">
        <x:is>
          <x:t xml:space="preserve">Ghi chú</x:t>
        </x:is>
      </x:c>
    </x:row>
    <x:row r="5" s="112" customFormat="1" ht="15" customHeight="1">
      <x:c r="A5" s="190" t="inlineStr">
        <x:is>
          <x:t xml:space="preserve">OpenAI GPT-6 Luna</x:t>
        </x:is>
      </x:c>
      <x:c r="B5" s="219" t="n">
        <x:v>0.1</x:v>
      </x:c>
      <x:c r="C5" s="219" t="n">
        <x:v>0.5</x:v>
      </x:c>
      <x:c r="D5" s="190" t="inlineStr">
        <x:is>
          <x:t xml:space="preserve">https://developers.openai.com/api/docs/pricing</x:t>
        </x:is>
      </x:c>
      <x:c r="E5" s="190" t="inlineStr">
        <x:is>
          <x:t xml:space="preserve">Mức Standard, ngữ cảnh ngắn</x:t>
        </x:is>
      </x:c>
    </x:row>
    <x:row r="6" s="112" customFormat="1" ht="15" customHeight="1">
      <x:c r="A6" s="190" t="inlineStr">
        <x:is>
          <x:t xml:space="preserve">OpenAI GPT-6 Sol</x:t>
        </x:is>
      </x:c>
      <x:c r="B6" s="219" t="n">
        <x:v>2</x:v>
      </x:c>
      <x:c r="C6" s="219" t="n">
        <x:v>10</x:v>
      </x:c>
      <x:c r="D6" s="190" t="inlineStr">
        <x:is>
          <x:t xml:space="preserve">https://openai.com/index/introducing-gpt-6-sol-and-luna/</x:t>
        </x:is>
      </x:c>
      <x:c r="E6" s="190" t="inlineStr">
        <x:is>
          <x:t xml:space="preserve">Mức Standard</x:t>
        </x:is>
      </x:c>
    </x:row>
    <x:row r="7" s="112" customFormat="1" ht="15" customHeight="1">
      <x:c r="A7" s="190" t="inlineStr">
        <x:is>
          <x:t xml:space="preserve">Anthropic Claude Haiku 4.5</x:t>
        </x:is>
      </x:c>
      <x:c r="B7" s="219" t="n">
        <x:v>1</x:v>
      </x:c>
      <x:c r="C7" s="219" t="n">
        <x:v>5</x:v>
      </x:c>
      <x:c r="D7" s="190" t="inlineStr">
        <x:is>
          <x:t xml:space="preserve">https://platform.claude.com/docs/en/models/haiku-4-5/overview</x:t>
        </x:is>
      </x:c>
      <x:c r="E7" s="190" t="n"/>
    </x:row>
    <x:row r="8" s="112" customFormat="1" ht="15" customHeight="1">
      <x:c r="A8" s="190" t="inlineStr">
        <x:is>
          <x:t xml:space="preserve">Anthropic Claude Sonnet 5.5</x:t>
        </x:is>
      </x:c>
      <x:c r="B8" s="219" t="n">
        <x:v>2</x:v>
      </x:c>
      <x:c r="C8" s="219" t="n">
        <x:v>10</x:v>
      </x:c>
      <x:c r="D8" s="190" t="inlineStr">
        <x:is>
          <x:t xml:space="preserve">https://platform.claude.com/docs/en/models/haiku-4-5/overview</x:t>
        </x:is>
      </x:c>
      <x:c r="E8" s="190" t="inlineStr">
        <x:is>
          <x:t xml:space="preserve">Bảng so sánh trên cùng trang</x:t>
        </x:is>
      </x:c>
    </x:row>
    <x:row r="11" s="112" customFormat="1" ht="15" customHeight="1">
      <x:c r="A11" s="125" t="inlineStr">
        <x:is>
          <x:t xml:space="preserve">Số liệu Việt Nam</x:t>
        </x:is>
      </x:c>
      <x:c r="B11" s="125" t="inlineStr">
        <x:is>
          <x:t xml:space="preserve">Giá trị</x:t>
        </x:is>
      </x:c>
      <x:c r="C11" s="125" t="inlineStr">
        <x:is>
          <x:t xml:space="preserve">Đơn vị</x:t>
        </x:is>
      </x:c>
      <x:c r="D11" s="125" t="inlineStr">
        <x:is>
          <x:t xml:space="preserve">Nguồn</x:t>
        </x:is>
      </x:c>
      <x:c r="E11" s="125" t="inlineStr">
        <x:is>
          <x:t xml:space="preserve">Ghi chú</x:t>
        </x:is>
      </x:c>
    </x:row>
    <x:row r="12" s="112" customFormat="1" ht="15" customHeight="1">
      <x:c r="A12" s="190" t="inlineStr">
        <x:is>
          <x:t xml:space="preserve">Tỷ giá USD bán ra Vietcombank</x:t>
        </x:is>
      </x:c>
      <x:c r="B12" s="220" t="n">
        <x:v>26170</x:v>
      </x:c>
      <x:c r="C12" s="190" t="inlineStr">
        <x:is>
          <x:t xml:space="preserve">VND / USD</x:t>
        </x:is>
      </x:c>
      <x:c r="D12" s="190" t="inlineStr">
        <x:is>
          <x:t xml:space="preserve">https://thanhnien.vn/gia-usd-hom-nay-4102026-bien-dong-nhe-trong-tuan-khi-euro-bang-anh-tiep-tuc-giam-185261003210750485.htm</x:t>
        </x:is>
      </x:c>
      <x:c r="E12" s="190" t="inlineStr">
        <x:is>
          <x:t xml:space="preserve">Báo chí đưa tin sáng 04/10/2026; đối chiếu trang Vietcombank khi dùng</x:t>
        </x:is>
      </x:c>
    </x:row>
    <x:row r="13" s="112" customFormat="1" ht="15" customHeight="1">
      <x:c r="A13" s="190" t="inlineStr">
        <x:is>
          <x:t xml:space="preserve">Tỷ giá trung tâm Ngân hàng Nhà nước</x:t>
        </x:is>
      </x:c>
      <x:c r="B13" s="220" t="n">
        <x:v>25636</x:v>
      </x:c>
      <x:c r="C13" s="190" t="inlineStr">
        <x:is>
          <x:t xml:space="preserve">VND / USD</x:t>
        </x:is>
      </x:c>
      <x:c r="D13" s="190" t="inlineStr">
        <x:is>
          <x:t xml:space="preserve">https://qdnd.vn/kinh-te/tin-tuc/ty-gia-usd-hom-nay-4-10-dong-usd-tang-tuan-thu-ba-lien-tiep-1059250</x:t>
        </x:is>
      </x:c>
      <x:c r="E13" s="190" t="inlineStr">
        <x:is>
          <x:t xml:space="preserve">Báo QĐND đưa tin ngày 04/10/2026</x:t>
        </x:is>
      </x:c>
    </x:row>
    <x:row r="14" s="112" customFormat="1" ht="15" customHeight="1">
      <x:c r="A14" s="190" t="inlineStr">
        <x:is>
          <x:t xml:space="preserve">Lương tối thiểu tháng, vùng I (Hà Nội, TP.HCM)</x:t>
        </x:is>
      </x:c>
      <x:c r="B14" s="220" t="n">
        <x:v>5310000</x:v>
      </x:c>
      <x:c r="C14" s="190" t="inlineStr">
        <x:is>
          <x:t xml:space="preserve">VND / tháng</x:t>
        </x:is>
      </x:c>
      <x:c r="D14" s="190" t="inlineStr">
        <x:is>
          <x:t xml:space="preserve">https://xaydungchinhsach.chinhphu.vn/tu-1-1-2026-muc-luong-toi-thieu-duoc-tang-bao-nhieu-119251111091442629.htm</x:t>
        </x:is>
      </x:c>
      <x:c r="E14" s="190" t="inlineStr">
        <x:is>
          <x:t xml:space="preserve">Nghị định 293/2025/NĐ-CP, hiệu lực 01/01/2026</x:t>
        </x:is>
      </x:c>
    </x:row>
    <x:row r="15" s="112" customFormat="1" ht="15" customHeight="1">
      <x:c r="A15" s="190" t="inlineStr">
        <x:is>
          <x:t xml:space="preserve">Lương tối thiểu giờ, vùng I</x:t>
        </x:is>
      </x:c>
      <x:c r="B15" s="220" t="n">
        <x:v>25500</x:v>
      </x:c>
      <x:c r="C15" s="190" t="inlineStr">
        <x:is>
          <x:t xml:space="preserve">VND / giờ</x:t>
        </x:is>
      </x:c>
      <x:c r="D15" s="190" t="inlineStr">
        <x:is>
          <x:t xml:space="preserve">https://xaydungchinhsach.chinhphu.vn/tu-1-1-2026-muc-luong-toi-thieu-duoc-tang-bao-nhieu-119251111091442629.htm</x:t>
        </x:is>
      </x:c>
      <x:c r="E15" s="190" t="inlineStr">
        <x:is>
          <x:t xml:space="preserve">Nghị định 293/2025/NĐ-CP; là mức sàn, chưa gồm bảo hiểm</x:t>
        </x:is>
      </x:c>
    </x:row>
    <x:row r="18" s="112" customFormat="1" ht="15" customHeight="1">
      <x:c r="A18" s="125" t="inlineStr">
        <x:is>
          <x:t xml:space="preserve">Số KHÔNG có trong bảng</x:t>
        </x:is>
      </x:c>
      <x:c r="B18" s="125" t="inlineStr">
        <x:is>
          <x:t xml:space="preserve">Cách xử lý</x:t>
        </x:is>
      </x:c>
    </x:row>
    <x:row r="19" s="112" customFormat="1" ht="48" customHeight="1">
      <x:c r="A19" s="218" t="inlineStr">
        <x:is>
          <x:t xml:space="preserve">Tỷ lệ rời bỏ, chi phí có một khách của SME Việt Nam</x:t>
        </x:is>
      </x:c>
      <x:c r="B19" s="218" t="inlineStr">
        <x:is>
          <x:t xml:space="preserve">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x:t>
        </x:is>
      </x:c>
    </x:row>
    <x:row r="20" s="112" customFormat="1" ht="48" customHeight="1">
      <x:c r="A20" s="218" t="inlineStr">
        <x:is>
          <x:t xml:space="preserve">LTV ÷ CAC &gt; 3, hoàn vốn chi phí có khách &lt; 12 tháng</x:t>
        </x:is>
      </x:c>
      <x:c r="B20" s="218" t="inlineStr">
        <x:is>
          <x:t xml:space="preserve">Ngưỡng tham khảo phổ biến trong ngành phần mềm thuê bao; lớp chưa kiểm chứng nguồn sơ cấp. Dùng để đọc kết quả, không phải luật.</x:t>
        </x:is>
      </x:c>
    </x:row>
    <x:row r="21" s="112" customFormat="1" ht="48" customHeight="1">
      <x:c r="A21" s="218" t="inlineStr">
        <x:is>
          <x:t xml:space="preserve">Giá sàn gấp 3 lần chi phí mỗi việc; phần chìm ≥ 30% chi phí gọi AI</x:t>
        </x:is>
      </x:c>
      <x:c r="B21" s="218" t="inlineStr">
        <x:is>
          <x:t xml:space="preserve">Kinh nghiệm của giảng viên, không phải chuẩn ngành.</x:t>
        </x:is>
      </x:c>
    </x:row>
    <x:row r="23" s="112" customFormat="1" ht="15" customHeight="1">
      <x:c r="A23" s="125" t="inlineStr">
        <x:is>
          <x:t xml:space="preserve">Ngưỡng nghe ở Ngày 22–23</x:t>
        </x:is>
      </x:c>
      <x:c r="B23" s="125" t="inlineStr">
        <x:is>
          <x:t xml:space="preserve">Cách dùng hôm nay</x:t>
        </x:is>
      </x:c>
    </x:row>
    <x:row r="24" s="112" customFormat="1" ht="48" customHeight="1">
      <x:c r="A24" s="218" t="inlineStr">
        <x:is>
          <x:t xml:space="preserve">Biên lợi nhuận gộp ≥ 60%, dưới 50% là nguy (Ngày 22, slide 8)</x:t>
        </x:is>
      </x:c>
      <x:c r="B24" s="218" t="inlineStr">
        <x:is>
          <x:t xml:space="preserve">Diễn giả nêu, không kèm nguồn. Ngày 23 (slide 34) dẫn số thực đo của công ty AI chỉ 45–53% — chưa kiểm chứng. Dùng mức tối thiểu tự tính ở trang 5.</x:t>
        </x:is>
      </x:c>
    </x:row>
    <x:row r="25" s="112" customFormat="1" ht="48" customHeight="1">
      <x:c r="A25" s="218" t="inlineStr">
        <x:is>
          <x:t xml:space="preserve">Neo giá ở 50–70% lương người được thay (Ngày 22, slide 9)</x:t>
        </x:is>
      </x:c>
      <x:c r="B25" s="218" t="inlineStr">
        <x:is>
          <x:t xml:space="preserve">Kinh nghiệm diễn giả. Dùng làm phép thử ở trang 2, không phải luật.</x:t>
        </x:is>
      </x:c>
    </x:row>
    <x:row r="26" s="112" customFormat="1" ht="48" customHeight="1">
      <x:c r="A26" s="218" t="inlineStr">
        <x:is>
          <x:t xml:space="preserve">Ranh giới bán tự phục vụ dưới 50 USD, bán trực tiếp trên 1.000 USD mỗi tháng (Ngày 22, slide 17–18)</x:t>
        </x:is>
      </x:c>
      <x:c r="B26" s="218" t="inlineStr">
        <x:is>
          <x:t xml:space="preserve">Ngưỡng của thị trường Mỹ. Ranh giới của nhóm là chi phí có một khách tối đa tự tính ở trang 5.</x:t>
        </x:is>
      </x:c>
    </x:row>
    <x:row r="27" s="112" customFormat="1" ht="48" customHeight="1">
      <x:c r="A27" s="218" t="inlineStr">
        <x:is>
          <x:t xml:space="preserve">GitHub Copilot thu 10 USD, chi 80 USD, lỗ 70 USD mỗi người (Ngày 22, slide 3)</x:t>
        </x:is>
      </x:c>
      <x:c r="B27" s="218" t="inlineStr">
        <x:is>
          <x:t xml:space="preserve">WSJ 10/2023 đưa tin lỗ trung bình khoảng 20 USD/người/tháng; 80 USD là mức của một số người dùng nặng. Theo bản tóm tắt của AI Business, chưa đọc bài gốc WSJ.</x:t>
        </x:is>
      </x:c>
    </x:row>
    <x:row r="28" s="112" customFormat="1" ht="48" customHeight="1">
      <x:c r="A28" s="218" t="inlineStr">
        <x:is>
          <x:t xml:space="preserve">Nhãn nguồn [NGÀNH] · [TỰ TÍNH] · [TỰ ĐO] (Ngày 23, slide 11)</x:t>
        </x:is>
      </x:c>
      <x:c r="B28" s="218" t="inlineStr">
        <x:is>
          <x:t xml:space="preserve">Dùng ba nhãn này trong cột "Nguồn / lý do". Số chưa có nguồn, chưa đo: ghi "Giả định: … vì …", không gắn [NGÀNH].</x:t>
        </x:is>
      </x:c>
    </x:row>
  </x:sheetData>
  <x:mergeCells>
    <x:mergeCell ref="B26:E26"/>
    <x:mergeCell ref="B27:E27"/>
    <x:mergeCell ref="B21:E21"/>
    <x:mergeCell ref="B25:E25"/>
    <x:mergeCell ref="B24:E24"/>
    <x:mergeCell ref="B19:E19"/>
    <x:mergeCell ref="B20:E20"/>
    <x:mergeCell ref="B28:E28"/>
  </x:mergeCells>
  <x:pageMargins left="0.7" right="0.7" top="0.75" bottom="0.75" header="0.3" footer="0.3"/>
</x:worksheet>
</file>